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always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a960aacf7e74b6c/Desktop/"/>
    </mc:Choice>
  </mc:AlternateContent>
  <xr:revisionPtr revIDLastSave="29" documentId="8_{6772D648-C1A8-4023-992A-08ABB6A7110B}" xr6:coauthVersionLast="47" xr6:coauthVersionMax="47" xr10:uidLastSave="{FA43E805-615A-4AA2-935B-2B968B8B3698}"/>
  <bookViews>
    <workbookView xWindow="-108" yWindow="-108" windowWidth="23256" windowHeight="12456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</externalReferences>
  <definedNames>
    <definedName name="BData">Break!$A:$I</definedName>
    <definedName name="Break">Break!$A:$I</definedName>
    <definedName name="EData">Efficiency!$A:$Q</definedName>
    <definedName name="PData">'OverAll Performance'!$A:$J</definedName>
  </definedNames>
  <calcPr calcId="191029" iterateCount="1000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4" l="1"/>
  <c r="B3" i="4" s="1"/>
  <c r="A4" i="4"/>
  <c r="B4" i="4" s="1"/>
  <c r="A5" i="4"/>
  <c r="A6" i="4"/>
  <c r="A7" i="4"/>
  <c r="A8" i="4"/>
  <c r="F8" i="4" s="1"/>
  <c r="A9" i="4"/>
  <c r="G9" i="4" s="1"/>
  <c r="A10" i="4"/>
  <c r="F10" i="4" s="1"/>
  <c r="A11" i="4"/>
  <c r="E11" i="4" s="1"/>
  <c r="A12" i="4"/>
  <c r="E12" i="4" s="1"/>
  <c r="A13" i="4"/>
  <c r="E13" i="4" s="1"/>
  <c r="A14" i="4"/>
  <c r="A15" i="4"/>
  <c r="A16" i="4"/>
  <c r="B16" i="4" s="1"/>
  <c r="A17" i="4"/>
  <c r="G17" i="4" s="1"/>
  <c r="A18" i="4"/>
  <c r="B18" i="4" s="1"/>
  <c r="A19" i="4"/>
  <c r="G19" i="4" s="1"/>
  <c r="A20" i="4"/>
  <c r="D20" i="4" s="1"/>
  <c r="A21" i="4"/>
  <c r="A22" i="4"/>
  <c r="D22" i="4" s="1"/>
  <c r="A23" i="4"/>
  <c r="A24" i="4"/>
  <c r="F24" i="4" s="1"/>
  <c r="A25" i="4"/>
  <c r="G25" i="4" s="1"/>
  <c r="A26" i="4"/>
  <c r="F26" i="4" s="1"/>
  <c r="A27" i="4"/>
  <c r="E27" i="4" s="1"/>
  <c r="A28" i="4"/>
  <c r="E28" i="4" s="1"/>
  <c r="A29" i="4"/>
  <c r="E29" i="4" s="1"/>
  <c r="A30" i="4"/>
  <c r="C30" i="4" s="1"/>
  <c r="A31" i="4"/>
  <c r="A32" i="4"/>
  <c r="B32" i="4" s="1"/>
  <c r="A33" i="4"/>
  <c r="G33" i="4" s="1"/>
  <c r="A34" i="4"/>
  <c r="C34" i="4" s="1"/>
  <c r="A35" i="4"/>
  <c r="G35" i="4" s="1"/>
  <c r="A36" i="4"/>
  <c r="C36" i="4" s="1"/>
  <c r="A37" i="4"/>
  <c r="A38" i="4"/>
  <c r="C38" i="4" s="1"/>
  <c r="A39" i="4"/>
  <c r="A40" i="4"/>
  <c r="F40" i="4" s="1"/>
  <c r="A41" i="4"/>
  <c r="G41" i="4" s="1"/>
  <c r="A42" i="4"/>
  <c r="F42" i="4" s="1"/>
  <c r="A43" i="4"/>
  <c r="B43" i="4" s="1"/>
  <c r="A44" i="4"/>
  <c r="D44" i="4" s="1"/>
  <c r="A45" i="4"/>
  <c r="A46" i="4"/>
  <c r="C46" i="4" s="1"/>
  <c r="A47" i="4"/>
  <c r="A48" i="4"/>
  <c r="B48" i="4" s="1"/>
  <c r="A49" i="4"/>
  <c r="G49" i="4" s="1"/>
  <c r="A50" i="4"/>
  <c r="B50" i="4" s="1"/>
  <c r="A51" i="4"/>
  <c r="G51" i="4" s="1"/>
  <c r="A52" i="4"/>
  <c r="E52" i="4" s="1"/>
  <c r="A53" i="4"/>
  <c r="E53" i="4" s="1"/>
  <c r="A54" i="4"/>
  <c r="C54" i="4" s="1"/>
  <c r="A55" i="4"/>
  <c r="A56" i="4"/>
  <c r="F56" i="4" s="1"/>
  <c r="A57" i="4"/>
  <c r="G57" i="4" s="1"/>
  <c r="A58" i="4"/>
  <c r="F58" i="4" s="1"/>
  <c r="A59" i="4"/>
  <c r="C59" i="4" s="1"/>
  <c r="A60" i="4"/>
  <c r="C60" i="4" s="1"/>
  <c r="A61" i="4"/>
  <c r="A62" i="4"/>
  <c r="C62" i="4" s="1"/>
  <c r="A63" i="4"/>
  <c r="A64" i="4"/>
  <c r="D64" i="4" s="1"/>
  <c r="A65" i="4"/>
  <c r="G65" i="4" s="1"/>
  <c r="A66" i="4"/>
  <c r="B66" i="4" s="1"/>
  <c r="A67" i="4"/>
  <c r="G67" i="4" s="1"/>
  <c r="A68" i="4"/>
  <c r="E68" i="4" s="1"/>
  <c r="A69" i="4"/>
  <c r="A70" i="4"/>
  <c r="C70" i="4" s="1"/>
  <c r="A71" i="4"/>
  <c r="A72" i="4"/>
  <c r="F72" i="4" s="1"/>
  <c r="A73" i="4"/>
  <c r="G73" i="4" s="1"/>
  <c r="A74" i="4"/>
  <c r="F74" i="4" s="1"/>
  <c r="A75" i="4"/>
  <c r="C75" i="4" s="1"/>
  <c r="A76" i="4"/>
  <c r="C76" i="4" s="1"/>
  <c r="A77" i="4"/>
  <c r="A78" i="4"/>
  <c r="C78" i="4" s="1"/>
  <c r="A79" i="4"/>
  <c r="A80" i="4"/>
  <c r="B80" i="4" s="1"/>
  <c r="A81" i="4"/>
  <c r="G81" i="4" s="1"/>
  <c r="A82" i="4"/>
  <c r="B82" i="4" s="1"/>
  <c r="A83" i="4"/>
  <c r="G83" i="4" s="1"/>
  <c r="A84" i="4"/>
  <c r="D84" i="4" s="1"/>
  <c r="A85" i="4"/>
  <c r="A86" i="4"/>
  <c r="C86" i="4" s="1"/>
  <c r="A87" i="4"/>
  <c r="A88" i="4"/>
  <c r="F88" i="4" s="1"/>
  <c r="A89" i="4"/>
  <c r="G89" i="4" s="1"/>
  <c r="A90" i="4"/>
  <c r="F90" i="4" s="1"/>
  <c r="A91" i="4"/>
  <c r="E91" i="4" s="1"/>
  <c r="A92" i="4"/>
  <c r="E92" i="4" s="1"/>
  <c r="A93" i="4"/>
  <c r="E93" i="4" s="1"/>
  <c r="A94" i="4"/>
  <c r="E94" i="4" s="1"/>
  <c r="A95" i="4"/>
  <c r="A96" i="4"/>
  <c r="B96" i="4" s="1"/>
  <c r="A97" i="4"/>
  <c r="G97" i="4" s="1"/>
  <c r="A98" i="4"/>
  <c r="B98" i="4" s="1"/>
  <c r="A99" i="4"/>
  <c r="G99" i="4" s="1"/>
  <c r="A100" i="4"/>
  <c r="B100" i="4" s="1"/>
  <c r="A101" i="4"/>
  <c r="A102" i="4"/>
  <c r="F102" i="4" s="1"/>
  <c r="A103" i="4"/>
  <c r="A104" i="4"/>
  <c r="F104" i="4" s="1"/>
  <c r="A105" i="4"/>
  <c r="G105" i="4" s="1"/>
  <c r="A106" i="4"/>
  <c r="F106" i="4" s="1"/>
  <c r="A107" i="4"/>
  <c r="B107" i="4" s="1"/>
  <c r="A108" i="4"/>
  <c r="D108" i="4" s="1"/>
  <c r="A109" i="4"/>
  <c r="A110" i="4"/>
  <c r="B110" i="4" s="1"/>
  <c r="A111" i="4"/>
  <c r="A112" i="4"/>
  <c r="B112" i="4" s="1"/>
  <c r="A113" i="4"/>
  <c r="G113" i="4" s="1"/>
  <c r="A114" i="4"/>
  <c r="B114" i="4" s="1"/>
  <c r="A115" i="4"/>
  <c r="G115" i="4" s="1"/>
  <c r="A116" i="4"/>
  <c r="E116" i="4" s="1"/>
  <c r="A117" i="4"/>
  <c r="E117" i="4" s="1"/>
  <c r="A118" i="4"/>
  <c r="F118" i="4" s="1"/>
  <c r="A119" i="4"/>
  <c r="A120" i="4"/>
  <c r="F120" i="4" s="1"/>
  <c r="A121" i="4"/>
  <c r="G121" i="4" s="1"/>
  <c r="A122" i="4"/>
  <c r="F122" i="4" s="1"/>
  <c r="A123" i="4"/>
  <c r="B123" i="4" s="1"/>
  <c r="A124" i="4"/>
  <c r="D124" i="4" s="1"/>
  <c r="A125" i="4"/>
  <c r="A126" i="4"/>
  <c r="D126" i="4" s="1"/>
  <c r="A127" i="4"/>
  <c r="A128" i="4"/>
  <c r="D128" i="4" s="1"/>
  <c r="A129" i="4"/>
  <c r="G129" i="4" s="1"/>
  <c r="A130" i="4"/>
  <c r="B130" i="4" s="1"/>
  <c r="A131" i="4"/>
  <c r="G131" i="4" s="1"/>
  <c r="A132" i="4"/>
  <c r="E132" i="4" s="1"/>
  <c r="A133" i="4"/>
  <c r="A134" i="4"/>
  <c r="F134" i="4" s="1"/>
  <c r="A135" i="4"/>
  <c r="A136" i="4"/>
  <c r="F136" i="4" s="1"/>
  <c r="A137" i="4"/>
  <c r="G137" i="4" s="1"/>
  <c r="A138" i="4"/>
  <c r="F138" i="4" s="1"/>
  <c r="A139" i="4"/>
  <c r="B139" i="4" s="1"/>
  <c r="A140" i="4"/>
  <c r="B140" i="4" s="1"/>
  <c r="A141" i="4"/>
  <c r="A142" i="4"/>
  <c r="B142" i="4" s="1"/>
  <c r="A143" i="4"/>
  <c r="A144" i="4"/>
  <c r="B144" i="4" s="1"/>
  <c r="A145" i="4"/>
  <c r="G145" i="4" s="1"/>
  <c r="A146" i="4"/>
  <c r="B146" i="4" s="1"/>
  <c r="A147" i="4"/>
  <c r="G147" i="4" s="1"/>
  <c r="A148" i="4"/>
  <c r="D148" i="4" s="1"/>
  <c r="A149" i="4"/>
  <c r="A150" i="4"/>
  <c r="F150" i="4" s="1"/>
  <c r="A2" i="4"/>
  <c r="F2" i="4" l="1"/>
  <c r="E2" i="4"/>
  <c r="F143" i="4"/>
  <c r="E143" i="4"/>
  <c r="F135" i="4"/>
  <c r="E135" i="4"/>
  <c r="F127" i="4"/>
  <c r="E127" i="4"/>
  <c r="F119" i="4"/>
  <c r="E119" i="4"/>
  <c r="F111" i="4"/>
  <c r="E111" i="4"/>
  <c r="F103" i="4"/>
  <c r="E103" i="4"/>
  <c r="F95" i="4"/>
  <c r="E95" i="4"/>
  <c r="F87" i="4"/>
  <c r="E87" i="4"/>
  <c r="F79" i="4"/>
  <c r="E79" i="4"/>
  <c r="F71" i="4"/>
  <c r="E71" i="4"/>
  <c r="F63" i="4"/>
  <c r="E63" i="4"/>
  <c r="F55" i="4"/>
  <c r="E55" i="4"/>
  <c r="F47" i="4"/>
  <c r="E47" i="4"/>
  <c r="F39" i="4"/>
  <c r="E39" i="4"/>
  <c r="F31" i="4"/>
  <c r="E31" i="4"/>
  <c r="F23" i="4"/>
  <c r="E23" i="4"/>
  <c r="F15" i="4"/>
  <c r="E15" i="4"/>
  <c r="F7" i="4"/>
  <c r="G7" i="4"/>
  <c r="E7" i="4"/>
  <c r="B148" i="4"/>
  <c r="B132" i="4"/>
  <c r="B124" i="4"/>
  <c r="B116" i="4"/>
  <c r="B108" i="4"/>
  <c r="B92" i="4"/>
  <c r="B84" i="4"/>
  <c r="B76" i="4"/>
  <c r="B68" i="4"/>
  <c r="B60" i="4"/>
  <c r="B52" i="4"/>
  <c r="B44" i="4"/>
  <c r="B36" i="4"/>
  <c r="B28" i="4"/>
  <c r="B20" i="4"/>
  <c r="B12" i="4"/>
  <c r="C145" i="4"/>
  <c r="C137" i="4"/>
  <c r="C129" i="4"/>
  <c r="C121" i="4"/>
  <c r="C113" i="4"/>
  <c r="C105" i="4"/>
  <c r="C97" i="4"/>
  <c r="C89" i="4"/>
  <c r="C65" i="4"/>
  <c r="C51" i="4"/>
  <c r="C39" i="4"/>
  <c r="C26" i="4"/>
  <c r="C12" i="4"/>
  <c r="D150" i="4"/>
  <c r="D136" i="4"/>
  <c r="D111" i="4"/>
  <c r="D97" i="4"/>
  <c r="D86" i="4"/>
  <c r="D72" i="4"/>
  <c r="D60" i="4"/>
  <c r="D47" i="4"/>
  <c r="D33" i="4"/>
  <c r="D8" i="4"/>
  <c r="E145" i="4"/>
  <c r="E118" i="4"/>
  <c r="E107" i="4"/>
  <c r="E81" i="4"/>
  <c r="E54" i="4"/>
  <c r="E43" i="4"/>
  <c r="F146" i="4"/>
  <c r="F130" i="4"/>
  <c r="F114" i="4"/>
  <c r="F98" i="4"/>
  <c r="F82" i="4"/>
  <c r="F66" i="4"/>
  <c r="F50" i="4"/>
  <c r="F34" i="4"/>
  <c r="F18" i="4"/>
  <c r="G2" i="4"/>
  <c r="G135" i="4"/>
  <c r="G119" i="4"/>
  <c r="G103" i="4"/>
  <c r="G87" i="4"/>
  <c r="G71" i="4"/>
  <c r="G55" i="4"/>
  <c r="G39" i="4"/>
  <c r="G23" i="4"/>
  <c r="E22" i="4"/>
  <c r="C22" i="4"/>
  <c r="E14" i="4"/>
  <c r="C14" i="4"/>
  <c r="G6" i="4"/>
  <c r="E6" i="4"/>
  <c r="C6" i="4"/>
  <c r="B147" i="4"/>
  <c r="B131" i="4"/>
  <c r="B115" i="4"/>
  <c r="B99" i="4"/>
  <c r="B91" i="4"/>
  <c r="B83" i="4"/>
  <c r="B75" i="4"/>
  <c r="B67" i="4"/>
  <c r="B59" i="4"/>
  <c r="B51" i="4"/>
  <c r="B35" i="4"/>
  <c r="B27" i="4"/>
  <c r="B19" i="4"/>
  <c r="B11" i="4"/>
  <c r="C144" i="4"/>
  <c r="C136" i="4"/>
  <c r="C128" i="4"/>
  <c r="C120" i="4"/>
  <c r="C112" i="4"/>
  <c r="C104" i="4"/>
  <c r="C96" i="4"/>
  <c r="C88" i="4"/>
  <c r="C63" i="4"/>
  <c r="C50" i="4"/>
  <c r="C25" i="4"/>
  <c r="C11" i="4"/>
  <c r="D135" i="4"/>
  <c r="D121" i="4"/>
  <c r="D110" i="4"/>
  <c r="D96" i="4"/>
  <c r="D71" i="4"/>
  <c r="D57" i="4"/>
  <c r="D46" i="4"/>
  <c r="D32" i="4"/>
  <c r="D7" i="4"/>
  <c r="E142" i="4"/>
  <c r="E131" i="4"/>
  <c r="E105" i="4"/>
  <c r="E78" i="4"/>
  <c r="E67" i="4"/>
  <c r="E41" i="4"/>
  <c r="F145" i="4"/>
  <c r="F129" i="4"/>
  <c r="F113" i="4"/>
  <c r="F97" i="4"/>
  <c r="F81" i="4"/>
  <c r="F65" i="4"/>
  <c r="F49" i="4"/>
  <c r="F33" i="4"/>
  <c r="F17" i="4"/>
  <c r="G150" i="4"/>
  <c r="G134" i="4"/>
  <c r="G118" i="4"/>
  <c r="G102" i="4"/>
  <c r="G86" i="4"/>
  <c r="G70" i="4"/>
  <c r="G54" i="4"/>
  <c r="G38" i="4"/>
  <c r="G22" i="4"/>
  <c r="D149" i="4"/>
  <c r="F149" i="4"/>
  <c r="D141" i="4"/>
  <c r="F141" i="4"/>
  <c r="D133" i="4"/>
  <c r="F133" i="4"/>
  <c r="D125" i="4"/>
  <c r="F125" i="4"/>
  <c r="D117" i="4"/>
  <c r="F117" i="4"/>
  <c r="D109" i="4"/>
  <c r="F109" i="4"/>
  <c r="D101" i="4"/>
  <c r="F101" i="4"/>
  <c r="D93" i="4"/>
  <c r="F93" i="4"/>
  <c r="D85" i="4"/>
  <c r="C85" i="4"/>
  <c r="F85" i="4"/>
  <c r="D77" i="4"/>
  <c r="C77" i="4"/>
  <c r="F77" i="4"/>
  <c r="D69" i="4"/>
  <c r="C69" i="4"/>
  <c r="F69" i="4"/>
  <c r="D61" i="4"/>
  <c r="C61" i="4"/>
  <c r="F61" i="4"/>
  <c r="D53" i="4"/>
  <c r="C53" i="4"/>
  <c r="F53" i="4"/>
  <c r="D45" i="4"/>
  <c r="C45" i="4"/>
  <c r="F45" i="4"/>
  <c r="D37" i="4"/>
  <c r="C37" i="4"/>
  <c r="F37" i="4"/>
  <c r="D29" i="4"/>
  <c r="C29" i="4"/>
  <c r="F29" i="4"/>
  <c r="D21" i="4"/>
  <c r="C21" i="4"/>
  <c r="F21" i="4"/>
  <c r="D13" i="4"/>
  <c r="C13" i="4"/>
  <c r="F13" i="4"/>
  <c r="D5" i="4"/>
  <c r="G5" i="4"/>
  <c r="C5" i="4"/>
  <c r="F5" i="4"/>
  <c r="B138" i="4"/>
  <c r="B122" i="4"/>
  <c r="B106" i="4"/>
  <c r="B90" i="4"/>
  <c r="B74" i="4"/>
  <c r="B58" i="4"/>
  <c r="B42" i="4"/>
  <c r="B34" i="4"/>
  <c r="B26" i="4"/>
  <c r="B10" i="4"/>
  <c r="C2" i="4"/>
  <c r="C143" i="4"/>
  <c r="C135" i="4"/>
  <c r="C127" i="4"/>
  <c r="C119" i="4"/>
  <c r="C111" i="4"/>
  <c r="C103" i="4"/>
  <c r="C95" i="4"/>
  <c r="C87" i="4"/>
  <c r="C74" i="4"/>
  <c r="C49" i="4"/>
  <c r="C35" i="4"/>
  <c r="C23" i="4"/>
  <c r="C10" i="4"/>
  <c r="D145" i="4"/>
  <c r="D134" i="4"/>
  <c r="D120" i="4"/>
  <c r="D95" i="4"/>
  <c r="D81" i="4"/>
  <c r="D70" i="4"/>
  <c r="D56" i="4"/>
  <c r="D31" i="4"/>
  <c r="D17" i="4"/>
  <c r="D6" i="4"/>
  <c r="E141" i="4"/>
  <c r="E129" i="4"/>
  <c r="E102" i="4"/>
  <c r="E77" i="4"/>
  <c r="E65" i="4"/>
  <c r="E38" i="4"/>
  <c r="F144" i="4"/>
  <c r="F128" i="4"/>
  <c r="F112" i="4"/>
  <c r="F96" i="4"/>
  <c r="F80" i="4"/>
  <c r="F64" i="4"/>
  <c r="F48" i="4"/>
  <c r="F32" i="4"/>
  <c r="F16" i="4"/>
  <c r="G149" i="4"/>
  <c r="G133" i="4"/>
  <c r="G117" i="4"/>
  <c r="G101" i="4"/>
  <c r="G85" i="4"/>
  <c r="G69" i="4"/>
  <c r="G53" i="4"/>
  <c r="G37" i="4"/>
  <c r="G21" i="4"/>
  <c r="G148" i="4"/>
  <c r="F148" i="4"/>
  <c r="G140" i="4"/>
  <c r="F140" i="4"/>
  <c r="G132" i="4"/>
  <c r="F132" i="4"/>
  <c r="G124" i="4"/>
  <c r="F124" i="4"/>
  <c r="G116" i="4"/>
  <c r="F116" i="4"/>
  <c r="G108" i="4"/>
  <c r="F108" i="4"/>
  <c r="G100" i="4"/>
  <c r="F100" i="4"/>
  <c r="G92" i="4"/>
  <c r="F92" i="4"/>
  <c r="G84" i="4"/>
  <c r="F84" i="4"/>
  <c r="G76" i="4"/>
  <c r="F76" i="4"/>
  <c r="G68" i="4"/>
  <c r="F68" i="4"/>
  <c r="G60" i="4"/>
  <c r="F60" i="4"/>
  <c r="G52" i="4"/>
  <c r="F52" i="4"/>
  <c r="G44" i="4"/>
  <c r="F44" i="4"/>
  <c r="G36" i="4"/>
  <c r="F36" i="4"/>
  <c r="G28" i="4"/>
  <c r="F28" i="4"/>
  <c r="G20" i="4"/>
  <c r="F20" i="4"/>
  <c r="G12" i="4"/>
  <c r="F12" i="4"/>
  <c r="G4" i="4"/>
  <c r="F4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9" i="4"/>
  <c r="C150" i="4"/>
  <c r="C142" i="4"/>
  <c r="C134" i="4"/>
  <c r="C126" i="4"/>
  <c r="C118" i="4"/>
  <c r="C110" i="4"/>
  <c r="C102" i="4"/>
  <c r="C94" i="4"/>
  <c r="C84" i="4"/>
  <c r="C73" i="4"/>
  <c r="C47" i="4"/>
  <c r="C20" i="4"/>
  <c r="C9" i="4"/>
  <c r="D144" i="4"/>
  <c r="D132" i="4"/>
  <c r="D119" i="4"/>
  <c r="D105" i="4"/>
  <c r="D94" i="4"/>
  <c r="D80" i="4"/>
  <c r="D68" i="4"/>
  <c r="D55" i="4"/>
  <c r="D41" i="4"/>
  <c r="D30" i="4"/>
  <c r="D16" i="4"/>
  <c r="D4" i="4"/>
  <c r="E140" i="4"/>
  <c r="E126" i="4"/>
  <c r="E115" i="4"/>
  <c r="E101" i="4"/>
  <c r="E89" i="4"/>
  <c r="E76" i="4"/>
  <c r="E62" i="4"/>
  <c r="E51" i="4"/>
  <c r="E37" i="4"/>
  <c r="E25" i="4"/>
  <c r="E9" i="4"/>
  <c r="F142" i="4"/>
  <c r="F126" i="4"/>
  <c r="F110" i="4"/>
  <c r="F94" i="4"/>
  <c r="F78" i="4"/>
  <c r="F62" i="4"/>
  <c r="F46" i="4"/>
  <c r="F30" i="4"/>
  <c r="F14" i="4"/>
  <c r="F147" i="4"/>
  <c r="D147" i="4"/>
  <c r="F139" i="4"/>
  <c r="D139" i="4"/>
  <c r="F131" i="4"/>
  <c r="D131" i="4"/>
  <c r="F123" i="4"/>
  <c r="D123" i="4"/>
  <c r="F115" i="4"/>
  <c r="D115" i="4"/>
  <c r="F107" i="4"/>
  <c r="D107" i="4"/>
  <c r="F99" i="4"/>
  <c r="D99" i="4"/>
  <c r="F91" i="4"/>
  <c r="D91" i="4"/>
  <c r="F83" i="4"/>
  <c r="D83" i="4"/>
  <c r="F75" i="4"/>
  <c r="D75" i="4"/>
  <c r="F67" i="4"/>
  <c r="D67" i="4"/>
  <c r="F59" i="4"/>
  <c r="D59" i="4"/>
  <c r="F51" i="4"/>
  <c r="D51" i="4"/>
  <c r="F43" i="4"/>
  <c r="D43" i="4"/>
  <c r="F35" i="4"/>
  <c r="D35" i="4"/>
  <c r="F27" i="4"/>
  <c r="D27" i="4"/>
  <c r="F19" i="4"/>
  <c r="D19" i="4"/>
  <c r="F11" i="4"/>
  <c r="D11" i="4"/>
  <c r="G3" i="4"/>
  <c r="F3" i="4"/>
  <c r="D3" i="4"/>
  <c r="B136" i="4"/>
  <c r="B128" i="4"/>
  <c r="B120" i="4"/>
  <c r="B104" i="4"/>
  <c r="B88" i="4"/>
  <c r="B72" i="4"/>
  <c r="B64" i="4"/>
  <c r="B56" i="4"/>
  <c r="B40" i="4"/>
  <c r="B24" i="4"/>
  <c r="B8" i="4"/>
  <c r="C149" i="4"/>
  <c r="C141" i="4"/>
  <c r="C133" i="4"/>
  <c r="C125" i="4"/>
  <c r="C117" i="4"/>
  <c r="C109" i="4"/>
  <c r="C101" i="4"/>
  <c r="C93" i="4"/>
  <c r="C83" i="4"/>
  <c r="C71" i="4"/>
  <c r="C58" i="4"/>
  <c r="C44" i="4"/>
  <c r="C33" i="4"/>
  <c r="C19" i="4"/>
  <c r="C7" i="4"/>
  <c r="D143" i="4"/>
  <c r="D129" i="4"/>
  <c r="D118" i="4"/>
  <c r="D104" i="4"/>
  <c r="D92" i="4"/>
  <c r="D79" i="4"/>
  <c r="D65" i="4"/>
  <c r="D54" i="4"/>
  <c r="D40" i="4"/>
  <c r="D28" i="4"/>
  <c r="D15" i="4"/>
  <c r="E150" i="4"/>
  <c r="E139" i="4"/>
  <c r="E125" i="4"/>
  <c r="E113" i="4"/>
  <c r="E100" i="4"/>
  <c r="E86" i="4"/>
  <c r="E75" i="4"/>
  <c r="E61" i="4"/>
  <c r="E49" i="4"/>
  <c r="E36" i="4"/>
  <c r="E21" i="4"/>
  <c r="E5" i="4"/>
  <c r="G143" i="4"/>
  <c r="G127" i="4"/>
  <c r="G111" i="4"/>
  <c r="G95" i="4"/>
  <c r="G79" i="4"/>
  <c r="G63" i="4"/>
  <c r="G47" i="4"/>
  <c r="G31" i="4"/>
  <c r="G15" i="4"/>
  <c r="E146" i="4"/>
  <c r="D146" i="4"/>
  <c r="G146" i="4"/>
  <c r="E138" i="4"/>
  <c r="D138" i="4"/>
  <c r="G138" i="4"/>
  <c r="E130" i="4"/>
  <c r="D130" i="4"/>
  <c r="G130" i="4"/>
  <c r="E122" i="4"/>
  <c r="D122" i="4"/>
  <c r="G122" i="4"/>
  <c r="E114" i="4"/>
  <c r="D114" i="4"/>
  <c r="G114" i="4"/>
  <c r="E106" i="4"/>
  <c r="D106" i="4"/>
  <c r="G106" i="4"/>
  <c r="E98" i="4"/>
  <c r="D98" i="4"/>
  <c r="G98" i="4"/>
  <c r="E90" i="4"/>
  <c r="D90" i="4"/>
  <c r="G90" i="4"/>
  <c r="E82" i="4"/>
  <c r="D82" i="4"/>
  <c r="G82" i="4"/>
  <c r="E74" i="4"/>
  <c r="D74" i="4"/>
  <c r="G74" i="4"/>
  <c r="E66" i="4"/>
  <c r="D66" i="4"/>
  <c r="G66" i="4"/>
  <c r="E58" i="4"/>
  <c r="D58" i="4"/>
  <c r="G58" i="4"/>
  <c r="E50" i="4"/>
  <c r="D50" i="4"/>
  <c r="G50" i="4"/>
  <c r="E42" i="4"/>
  <c r="D42" i="4"/>
  <c r="G42" i="4"/>
  <c r="E34" i="4"/>
  <c r="D34" i="4"/>
  <c r="G34" i="4"/>
  <c r="E26" i="4"/>
  <c r="D26" i="4"/>
  <c r="G26" i="4"/>
  <c r="E18" i="4"/>
  <c r="D18" i="4"/>
  <c r="G18" i="4"/>
  <c r="E10" i="4"/>
  <c r="D10" i="4"/>
  <c r="G10" i="4"/>
  <c r="B2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7" i="4"/>
  <c r="C148" i="4"/>
  <c r="C140" i="4"/>
  <c r="C132" i="4"/>
  <c r="C124" i="4"/>
  <c r="C116" i="4"/>
  <c r="C108" i="4"/>
  <c r="C100" i="4"/>
  <c r="C92" i="4"/>
  <c r="C82" i="4"/>
  <c r="C68" i="4"/>
  <c r="C57" i="4"/>
  <c r="C43" i="4"/>
  <c r="C31" i="4"/>
  <c r="C18" i="4"/>
  <c r="C4" i="4"/>
  <c r="D142" i="4"/>
  <c r="D116" i="4"/>
  <c r="D103" i="4"/>
  <c r="D89" i="4"/>
  <c r="D78" i="4"/>
  <c r="D52" i="4"/>
  <c r="D39" i="4"/>
  <c r="D25" i="4"/>
  <c r="D14" i="4"/>
  <c r="E149" i="4"/>
  <c r="E137" i="4"/>
  <c r="E124" i="4"/>
  <c r="E110" i="4"/>
  <c r="E99" i="4"/>
  <c r="E85" i="4"/>
  <c r="E73" i="4"/>
  <c r="E60" i="4"/>
  <c r="E46" i="4"/>
  <c r="E35" i="4"/>
  <c r="E20" i="4"/>
  <c r="E4" i="4"/>
  <c r="F137" i="4"/>
  <c r="F121" i="4"/>
  <c r="F105" i="4"/>
  <c r="F89" i="4"/>
  <c r="F73" i="4"/>
  <c r="F57" i="4"/>
  <c r="F41" i="4"/>
  <c r="F25" i="4"/>
  <c r="F9" i="4"/>
  <c r="G142" i="4"/>
  <c r="G126" i="4"/>
  <c r="G110" i="4"/>
  <c r="G94" i="4"/>
  <c r="G78" i="4"/>
  <c r="G62" i="4"/>
  <c r="G46" i="4"/>
  <c r="G30" i="4"/>
  <c r="G14" i="4"/>
  <c r="B150" i="4"/>
  <c r="B134" i="4"/>
  <c r="B126" i="4"/>
  <c r="B118" i="4"/>
  <c r="B102" i="4"/>
  <c r="B94" i="4"/>
  <c r="B86" i="4"/>
  <c r="B78" i="4"/>
  <c r="B70" i="4"/>
  <c r="B62" i="4"/>
  <c r="B54" i="4"/>
  <c r="B46" i="4"/>
  <c r="B38" i="4"/>
  <c r="B30" i="4"/>
  <c r="B22" i="4"/>
  <c r="B14" i="4"/>
  <c r="B6" i="4"/>
  <c r="C147" i="4"/>
  <c r="C139" i="4"/>
  <c r="C131" i="4"/>
  <c r="C123" i="4"/>
  <c r="C115" i="4"/>
  <c r="C107" i="4"/>
  <c r="C99" i="4"/>
  <c r="C91" i="4"/>
  <c r="C81" i="4"/>
  <c r="C67" i="4"/>
  <c r="C55" i="4"/>
  <c r="C42" i="4"/>
  <c r="C28" i="4"/>
  <c r="C17" i="4"/>
  <c r="C3" i="4"/>
  <c r="D140" i="4"/>
  <c r="D127" i="4"/>
  <c r="D113" i="4"/>
  <c r="D102" i="4"/>
  <c r="D88" i="4"/>
  <c r="D76" i="4"/>
  <c r="D63" i="4"/>
  <c r="D49" i="4"/>
  <c r="D38" i="4"/>
  <c r="D24" i="4"/>
  <c r="D12" i="4"/>
  <c r="E148" i="4"/>
  <c r="E134" i="4"/>
  <c r="E123" i="4"/>
  <c r="E109" i="4"/>
  <c r="E97" i="4"/>
  <c r="E84" i="4"/>
  <c r="E70" i="4"/>
  <c r="E59" i="4"/>
  <c r="E45" i="4"/>
  <c r="E33" i="4"/>
  <c r="E19" i="4"/>
  <c r="E3" i="4"/>
  <c r="G141" i="4"/>
  <c r="G125" i="4"/>
  <c r="G109" i="4"/>
  <c r="G93" i="4"/>
  <c r="G77" i="4"/>
  <c r="G61" i="4"/>
  <c r="G45" i="4"/>
  <c r="G29" i="4"/>
  <c r="G13" i="4"/>
  <c r="G144" i="4"/>
  <c r="E144" i="4"/>
  <c r="G136" i="4"/>
  <c r="E136" i="4"/>
  <c r="G128" i="4"/>
  <c r="E128" i="4"/>
  <c r="G120" i="4"/>
  <c r="E120" i="4"/>
  <c r="G112" i="4"/>
  <c r="E112" i="4"/>
  <c r="G104" i="4"/>
  <c r="E104" i="4"/>
  <c r="G96" i="4"/>
  <c r="E96" i="4"/>
  <c r="G88" i="4"/>
  <c r="E88" i="4"/>
  <c r="C80" i="4"/>
  <c r="G80" i="4"/>
  <c r="E80" i="4"/>
  <c r="C72" i="4"/>
  <c r="G72" i="4"/>
  <c r="E72" i="4"/>
  <c r="C64" i="4"/>
  <c r="G64" i="4"/>
  <c r="E64" i="4"/>
  <c r="C56" i="4"/>
  <c r="G56" i="4"/>
  <c r="E56" i="4"/>
  <c r="C48" i="4"/>
  <c r="G48" i="4"/>
  <c r="E48" i="4"/>
  <c r="C40" i="4"/>
  <c r="G40" i="4"/>
  <c r="E40" i="4"/>
  <c r="C32" i="4"/>
  <c r="G32" i="4"/>
  <c r="E32" i="4"/>
  <c r="C24" i="4"/>
  <c r="G24" i="4"/>
  <c r="E24" i="4"/>
  <c r="C16" i="4"/>
  <c r="G16" i="4"/>
  <c r="E16" i="4"/>
  <c r="C8" i="4"/>
  <c r="G8" i="4"/>
  <c r="E8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B13" i="4"/>
  <c r="B5" i="4"/>
  <c r="C146" i="4"/>
  <c r="C138" i="4"/>
  <c r="C130" i="4"/>
  <c r="C122" i="4"/>
  <c r="C114" i="4"/>
  <c r="C106" i="4"/>
  <c r="C98" i="4"/>
  <c r="C90" i="4"/>
  <c r="C79" i="4"/>
  <c r="C66" i="4"/>
  <c r="C52" i="4"/>
  <c r="C41" i="4"/>
  <c r="C27" i="4"/>
  <c r="C15" i="4"/>
  <c r="D2" i="4"/>
  <c r="D137" i="4"/>
  <c r="D112" i="4"/>
  <c r="D100" i="4"/>
  <c r="D87" i="4"/>
  <c r="D73" i="4"/>
  <c r="D62" i="4"/>
  <c r="D48" i="4"/>
  <c r="D36" i="4"/>
  <c r="D23" i="4"/>
  <c r="D9" i="4"/>
  <c r="E147" i="4"/>
  <c r="E133" i="4"/>
  <c r="E121" i="4"/>
  <c r="E108" i="4"/>
  <c r="E83" i="4"/>
  <c r="E69" i="4"/>
  <c r="E57" i="4"/>
  <c r="E44" i="4"/>
  <c r="E30" i="4"/>
  <c r="E17" i="4"/>
  <c r="F86" i="4"/>
  <c r="F70" i="4"/>
  <c r="F54" i="4"/>
  <c r="F38" i="4"/>
  <c r="F22" i="4"/>
  <c r="F6" i="4"/>
  <c r="G139" i="4"/>
  <c r="G123" i="4"/>
  <c r="G107" i="4"/>
  <c r="G91" i="4"/>
  <c r="G75" i="4"/>
  <c r="G59" i="4"/>
  <c r="G43" i="4"/>
  <c r="G27" i="4"/>
  <c r="G11" i="4"/>
  <c r="A1" i="4"/>
</calcChain>
</file>

<file path=xl/sharedStrings.xml><?xml version="1.0" encoding="utf-8"?>
<sst xmlns="http://schemas.openxmlformats.org/spreadsheetml/2006/main" count="2446" uniqueCount="1014">
  <si>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</si>
  <si>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</si>
  <si>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</si>
  <si>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</si>
  <si>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</si>
  <si>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</si>
  <si>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</si>
  <si>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</si>
  <si>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</si>
  <si>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</si>
  <si>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</si>
  <si>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</si>
  <si>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</si>
  <si>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</si>
  <si>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</si>
  <si>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</si>
  <si>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</si>
  <si>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</si>
  <si>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</si>
  <si>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</si>
  <si>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</si>
  <si>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</si>
  <si>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</si>
  <si>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</si>
  <si>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</si>
  <si>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</si>
  <si>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</si>
  <si>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</si>
  <si>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</si>
  <si>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</si>
  <si>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</si>
  <si>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</si>
  <si>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</si>
  <si>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</si>
  <si>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</si>
  <si>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</si>
  <si>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</si>
  <si>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</si>
  <si>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</si>
  <si>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</si>
  <si>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</si>
  <si>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</si>
  <si>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</si>
  <si>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</si>
  <si>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</si>
  <si>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</si>
  <si>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</si>
  <si>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</si>
  <si>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</si>
  <si>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</si>
  <si>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</si>
  <si>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</si>
  <si>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</si>
  <si>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</si>
  <si>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</si>
  <si>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</si>
  <si>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</si>
  <si>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</si>
  <si>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</si>
  <si>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</si>
  <si>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</si>
  <si>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</si>
  <si>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</si>
  <si>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</si>
  <si>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</si>
  <si>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</si>
  <si>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</si>
  <si>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</si>
  <si>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</si>
  <si>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</si>
  <si>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</si>
  <si>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</si>
  <si>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</si>
  <si>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</si>
  <si>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</si>
  <si>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</si>
  <si>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</si>
  <si>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</si>
  <si>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</si>
  <si>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</si>
  <si>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</si>
  <si>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</si>
  <si>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</si>
  <si>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</si>
  <si>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</si>
  <si>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</si>
  <si>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</si>
  <si>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</si>
  <si>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</si>
  <si>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</si>
  <si>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</si>
  <si>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</si>
  <si>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</si>
  <si>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</si>
  <si>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</si>
  <si>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</si>
  <si>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</si>
  <si>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</si>
  <si>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</si>
  <si>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</si>
  <si>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</si>
  <si>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</si>
  <si>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</si>
  <si>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</si>
  <si>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</si>
  <si>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</si>
  <si>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</si>
  <si>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</si>
  <si>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</si>
  <si>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</si>
  <si>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</si>
  <si>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</si>
  <si>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</si>
  <si>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</si>
  <si>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</si>
  <si>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</si>
  <si>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</si>
  <si>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</si>
  <si>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</si>
  <si>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</si>
  <si>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</si>
  <si>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</si>
  <si>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</si>
  <si>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</si>
  <si>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</si>
  <si>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</si>
  <si>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</si>
  <si>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</si>
  <si>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</si>
  <si>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</si>
  <si>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</si>
  <si>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</si>
  <si>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</si>
  <si>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</si>
  <si>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</si>
  <si>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</si>
  <si>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</si>
  <si>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</si>
  <si>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</si>
  <si>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</si>
  <si>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</si>
  <si>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</si>
  <si>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</si>
  <si>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</si>
  <si>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</si>
  <si>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</si>
  <si>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</si>
  <si>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</si>
  <si>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</si>
  <si>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</si>
  <si>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</si>
  <si>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</si>
  <si>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</si>
  <si>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</si>
  <si>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</si>
  <si>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</si>
  <si>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</si>
  <si>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</si>
  <si>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</si>
  <si>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</si>
  <si>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</si>
  <si>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</si>
  <si>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</si>
  <si>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</si>
  <si>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</si>
  <si>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</si>
  <si>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</si>
  <si>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</si>
  <si>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</si>
  <si>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</si>
  <si>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</si>
  <si>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</si>
  <si>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</si>
  <si>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</si>
  <si>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</si>
  <si>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</si>
  <si>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</si>
  <si>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</si>
  <si>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</si>
  <si>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</si>
  <si>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</si>
  <si>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</si>
  <si>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</si>
  <si>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</si>
  <si>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</si>
  <si>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</si>
  <si>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</si>
  <si>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</si>
  <si>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</si>
  <si>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</si>
  <si>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</si>
  <si>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</si>
  <si>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</si>
  <si>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</si>
  <si>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</si>
  <si>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</si>
  <si>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</si>
  <si>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</si>
  <si>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</si>
  <si>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</si>
  <si>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</si>
  <si>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</si>
  <si>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</si>
  <si>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</si>
  <si>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</si>
  <si>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</si>
  <si>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</si>
  <si>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</si>
  <si>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</si>
  <si>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</si>
  <si>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</si>
  <si>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</si>
  <si>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</si>
  <si>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</si>
  <si>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</si>
  <si>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</si>
  <si>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</si>
  <si>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</si>
  <si>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</si>
  <si>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</si>
  <si>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</si>
  <si>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</si>
  <si>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</si>
  <si>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</si>
  <si>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</si>
  <si>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</si>
  <si>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</si>
  <si>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</si>
  <si>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</si>
  <si>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</si>
  <si>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</si>
  <si>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</si>
  <si>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</si>
  <si>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</si>
  <si>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</si>
  <si>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</si>
  <si>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</si>
  <si>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</si>
  <si>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</si>
  <si>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</si>
  <si>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</si>
  <si>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</si>
  <si>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</si>
  <si>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</si>
  <si>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</si>
  <si>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</si>
  <si>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</si>
  <si>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</si>
  <si>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</si>
  <si>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</si>
  <si>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</si>
  <si>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</si>
  <si>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</si>
  <si>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</si>
  <si>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</si>
  <si>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</si>
  <si>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</si>
  <si>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</si>
  <si>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</si>
  <si>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</si>
  <si>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</si>
  <si>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</si>
  <si>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</si>
  <si>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</si>
  <si>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</si>
  <si>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</si>
  <si>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</si>
  <si>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</si>
  <si>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</si>
  <si>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</si>
  <si>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</si>
  <si>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</si>
  <si>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</si>
  <si>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</si>
  <si>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</si>
  <si>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</si>
  <si>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</si>
  <si>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</si>
  <si>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</si>
  <si>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</si>
  <si>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</si>
  <si>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</si>
  <si>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</si>
  <si>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</si>
  <si>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</si>
  <si>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</si>
  <si>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</si>
  <si>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</si>
  <si>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</si>
  <si>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</si>
  <si>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</si>
  <si>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</si>
  <si>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</si>
  <si>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</si>
  <si>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</si>
  <si>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</si>
  <si>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</si>
  <si>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</si>
  <si>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</si>
  <si>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</si>
  <si>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</si>
  <si>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</si>
  <si>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</si>
  <si>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</si>
  <si>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</si>
  <si>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</si>
  <si>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</si>
  <si>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</si>
  <si>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</si>
  <si>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</si>
  <si>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</si>
  <si>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</si>
  <si>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</si>
  <si>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</si>
  <si>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</si>
  <si>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</si>
  <si>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</si>
  <si>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</si>
  <si>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</si>
  <si>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</si>
  <si>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</si>
  <si>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</si>
  <si>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</si>
  <si>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</si>
  <si>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</si>
  <si>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</si>
  <si>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</si>
  <si>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</si>
  <si>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</si>
  <si>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</si>
  <si>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</si>
  <si>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</si>
  <si>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</si>
  <si>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</si>
  <si>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</si>
  <si>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</si>
  <si>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</si>
  <si>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</si>
  <si>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</si>
  <si>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</si>
  <si>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</si>
  <si>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</si>
  <si>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</si>
  <si>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</si>
  <si>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</si>
  <si>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</si>
  <si>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</si>
  <si>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</si>
  <si>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</si>
  <si>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</si>
  <si>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</si>
  <si>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</si>
  <si>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</si>
  <si>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</si>
  <si>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</si>
  <si>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</si>
  <si>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</si>
  <si>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</si>
  <si>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</si>
  <si>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</si>
  <si>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</si>
  <si>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</si>
  <si>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</si>
  <si>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</si>
  <si>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</si>
  <si>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</si>
  <si>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</si>
  <si>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</si>
  <si>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</si>
  <si>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</si>
  <si>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</si>
  <si>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</si>
  <si>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</si>
  <si>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</si>
  <si>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</si>
  <si>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</si>
  <si>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</si>
  <si>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</si>
  <si>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</si>
  <si>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</si>
  <si>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</si>
  <si>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</si>
  <si>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</si>
  <si>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</si>
  <si>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</si>
  <si>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</si>
  <si>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</si>
  <si>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</si>
  <si>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</si>
  <si>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</si>
  <si>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</si>
  <si>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</si>
  <si>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</si>
  <si>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</si>
  <si>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</si>
  <si>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</si>
  <si>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</si>
  <si>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</si>
  <si>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</si>
  <si>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</si>
  <si>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</si>
  <si>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</si>
  <si>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</si>
  <si>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</si>
  <si>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</si>
  <si>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</si>
  <si>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</si>
  <si>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</si>
  <si>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</si>
  <si>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</si>
  <si>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</si>
  <si>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</si>
  <si>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</si>
  <si>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</si>
  <si>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</si>
  <si>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</si>
  <si>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</si>
  <si>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</si>
  <si>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</si>
  <si>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</si>
  <si>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</si>
  <si>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</si>
  <si>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</si>
  <si>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</si>
  <si>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</si>
  <si>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</si>
  <si>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</si>
  <si>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</si>
  <si>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</si>
  <si>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</si>
  <si>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</si>
  <si>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</si>
  <si>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</si>
  <si>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</si>
  <si>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</si>
  <si>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</si>
  <si>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</si>
  <si>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</si>
  <si>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</si>
  <si>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</si>
  <si>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</si>
  <si>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</si>
  <si>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</si>
  <si>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</si>
  <si>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</si>
  <si>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</si>
  <si>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</si>
  <si>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</si>
  <si>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</si>
  <si>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</si>
  <si>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</si>
  <si>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</si>
  <si>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</si>
  <si>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</si>
  <si>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</si>
  <si>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</si>
  <si>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</si>
  <si>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</si>
  <si>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</si>
  <si>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</si>
  <si>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</si>
  <si>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</si>
  <si>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</si>
  <si>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</si>
  <si>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</si>
  <si>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</si>
  <si>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</si>
  <si>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</si>
  <si>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</si>
  <si>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</si>
  <si>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</si>
  <si>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</si>
  <si>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</si>
  <si>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</si>
  <si>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</si>
  <si>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</si>
  <si>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</si>
  <si>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</si>
  <si>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</si>
  <si>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</si>
  <si>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</si>
  <si>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</si>
  <si>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</si>
  <si>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</si>
  <si>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</si>
  <si>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</si>
  <si>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</si>
  <si>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</si>
  <si>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</si>
  <si>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</si>
  <si>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</si>
  <si>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</si>
  <si>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</si>
  <si>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</si>
  <si>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</si>
  <si>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</si>
  <si>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</si>
  <si>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</si>
  <si>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</si>
  <si>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</si>
  <si>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</si>
  <si>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</si>
  <si>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</si>
  <si>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</si>
  <si>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</si>
  <si>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</si>
  <si>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</si>
  <si>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</si>
  <si>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</si>
  <si>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</si>
  <si>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</si>
  <si>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</si>
  <si>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</si>
  <si>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</si>
  <si>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</si>
  <si>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</si>
  <si>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</si>
  <si>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</si>
  <si>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</si>
  <si>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</si>
  <si>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</si>
  <si>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</si>
  <si>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</si>
  <si>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</si>
  <si>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</si>
  <si>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</si>
  <si>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</si>
  <si>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</si>
  <si>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</si>
  <si>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</si>
  <si>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</si>
  <si>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</si>
  <si>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</si>
  <si>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</si>
  <si>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</si>
  <si>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</si>
  <si>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</si>
  <si>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</si>
  <si>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</si>
  <si>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</si>
  <si>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</si>
  <si>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</si>
  <si>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</si>
  <si>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</si>
  <si>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</si>
  <si>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</si>
  <si>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</si>
  <si>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</si>
  <si>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</si>
  <si>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</si>
  <si>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</si>
  <si>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</si>
  <si>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</si>
  <si>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</si>
  <si>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</si>
  <si>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</si>
  <si>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</si>
  <si>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</si>
  <si>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</si>
  <si>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</si>
  <si>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</si>
  <si>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</si>
  <si>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</si>
  <si>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</si>
  <si>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</si>
  <si>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</si>
  <si>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</si>
  <si>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</si>
  <si>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</si>
  <si>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</si>
  <si>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</si>
  <si>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</si>
  <si>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</si>
  <si>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</si>
  <si>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</si>
  <si>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</si>
  <si>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</si>
  <si>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</si>
  <si>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</si>
  <si>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</si>
  <si>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</si>
  <si>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</si>
  <si>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</si>
  <si>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</si>
  <si>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</si>
  <si>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</si>
  <si>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</si>
  <si>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</si>
  <si>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</si>
  <si>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</si>
  <si>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</si>
  <si>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</si>
  <si>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</si>
  <si>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</si>
  <si>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</si>
  <si>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</si>
  <si>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</si>
  <si>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</si>
  <si>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</si>
  <si>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</si>
  <si>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</si>
  <si>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</si>
  <si>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</si>
  <si>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</si>
  <si>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</si>
  <si>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</si>
  <si>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</si>
  <si>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</si>
  <si>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</si>
  <si>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</si>
  <si>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</si>
  <si>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</si>
  <si>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</si>
  <si>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</si>
  <si>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</si>
  <si>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</si>
  <si>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</si>
  <si>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</si>
  <si>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</si>
  <si>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</si>
  <si>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</si>
  <si>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</si>
  <si>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</si>
  <si>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</si>
  <si>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</si>
  <si>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</si>
  <si>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</si>
  <si>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</si>
  <si>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</si>
  <si>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</si>
  <si>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</si>
  <si>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</si>
  <si>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</si>
  <si>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</si>
  <si>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</si>
  <si>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</si>
  <si>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</si>
  <si>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</si>
  <si>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</si>
  <si>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</si>
  <si>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</si>
  <si>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</si>
  <si>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</si>
  <si>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</si>
  <si>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</si>
  <si>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</si>
  <si>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</si>
  <si>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</si>
  <si>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</si>
  <si>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</si>
  <si>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</si>
  <si>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</si>
  <si>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</si>
  <si>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</si>
  <si>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</si>
  <si>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</si>
  <si>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</si>
  <si>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</si>
  <si>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</si>
  <si>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</si>
  <si>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</si>
  <si>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</si>
  <si>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</si>
  <si>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</si>
  <si>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</si>
  <si>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</si>
  <si>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</si>
  <si>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</si>
  <si>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</si>
  <si>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</si>
  <si>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</si>
  <si>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</si>
  <si>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</si>
  <si>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</si>
  <si>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</si>
  <si>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</si>
  <si>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</si>
  <si>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</si>
  <si>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</si>
  <si>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</si>
  <si>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</si>
  <si>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</si>
  <si>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</si>
  <si>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</si>
  <si>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</si>
  <si>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</si>
  <si>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</si>
  <si>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</si>
  <si>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</si>
  <si>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</si>
  <si>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</si>
  <si>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</si>
  <si>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</si>
  <si>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</si>
  <si>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</si>
  <si>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</si>
  <si>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</si>
  <si>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</si>
  <si>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</si>
  <si>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</si>
  <si>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</si>
  <si>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</si>
  <si>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</si>
  <si>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</si>
  <si>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</si>
  <si>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</si>
  <si>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</si>
  <si>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</si>
  <si>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</si>
  <si>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</si>
  <si>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</si>
  <si>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</si>
  <si>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</si>
  <si>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</si>
  <si>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</si>
  <si>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</si>
  <si>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</si>
  <si>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</si>
  <si>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</si>
  <si>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</si>
  <si>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</si>
  <si>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</si>
  <si>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</si>
  <si>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</si>
  <si>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</si>
  <si>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</si>
  <si>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</si>
  <si>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</si>
  <si>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</si>
  <si>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</si>
  <si>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</si>
  <si>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</si>
  <si>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</si>
  <si>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</si>
  <si>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</si>
  <si>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</si>
  <si>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</si>
  <si>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</si>
  <si>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</si>
  <si>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</si>
  <si>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</si>
  <si>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</si>
  <si>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</si>
  <si>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</si>
  <si>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</si>
  <si>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</si>
  <si>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</si>
  <si>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</si>
  <si>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</si>
  <si>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</si>
  <si>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</si>
  <si>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</si>
  <si>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</si>
  <si>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</si>
  <si>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</si>
  <si>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</si>
  <si>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</si>
  <si>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</si>
  <si>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</si>
  <si>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</si>
  <si>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</si>
  <si>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</si>
  <si>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</si>
  <si>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</si>
  <si>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</si>
  <si>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</si>
  <si>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</si>
  <si>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</si>
  <si>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</si>
  <si>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</si>
  <si>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</si>
  <si>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</si>
  <si>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</si>
  <si>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</si>
  <si>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</si>
  <si>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</si>
  <si>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</si>
  <si>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</si>
  <si>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</si>
  <si>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</si>
  <si>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</si>
  <si>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</si>
  <si>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</si>
  <si>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</si>
  <si>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</si>
  <si>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</si>
  <si>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</si>
  <si>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</si>
  <si>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</si>
  <si>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</si>
  <si>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</si>
  <si>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</si>
  <si>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</si>
  <si>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</si>
  <si>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</si>
  <si>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</si>
  <si>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</si>
  <si>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</si>
  <si>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</si>
  <si>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</si>
  <si>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</si>
  <si>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</si>
  <si>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</si>
  <si>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</si>
  <si>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</si>
  <si>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</si>
  <si>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</si>
  <si>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</si>
  <si>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</si>
  <si>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</si>
  <si>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</si>
  <si>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</si>
  <si>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</si>
  <si>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</si>
  <si>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</si>
  <si>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</si>
  <si>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</si>
  <si>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</si>
  <si>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</si>
  <si>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</si>
  <si>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</si>
  <si>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</si>
  <si>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</si>
  <si>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</si>
  <si>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</si>
  <si>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</si>
  <si>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</si>
  <si>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</si>
  <si>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</si>
  <si>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</si>
  <si>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</si>
  <si>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</si>
  <si>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</si>
  <si>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</si>
  <si>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</si>
  <si>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</si>
  <si>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</si>
  <si>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</si>
  <si>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</si>
  <si>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</si>
  <si>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</si>
  <si>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</si>
  <si>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</si>
  <si>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</si>
  <si>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</si>
  <si>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</si>
  <si>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</si>
  <si>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</si>
  <si>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</si>
  <si>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</si>
  <si>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</si>
  <si>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</si>
  <si>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</si>
  <si>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</si>
  <si>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</si>
  <si>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</si>
  <si>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</si>
  <si>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</si>
  <si>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</si>
  <si>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</si>
  <si>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</si>
  <si>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</si>
  <si>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</si>
  <si>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</si>
  <si>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</si>
  <si>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</si>
  <si>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</si>
  <si>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</si>
  <si>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</si>
  <si>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</si>
  <si>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</si>
  <si>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</si>
  <si>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</si>
  <si>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</si>
  <si>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</si>
  <si>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</si>
  <si>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</si>
  <si>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</si>
  <si>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</si>
  <si>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</si>
  <si>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</si>
  <si>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</si>
  <si>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</si>
  <si>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</si>
  <si>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</si>
  <si>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</si>
  <si>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</si>
  <si>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</si>
  <si>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</si>
  <si>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</si>
  <si>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</si>
  <si>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</si>
  <si>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</si>
  <si>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</si>
  <si>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</si>
  <si>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</si>
  <si>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</si>
  <si>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</si>
  <si>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</si>
  <si>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</si>
  <si>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</si>
  <si>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</si>
  <si>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</si>
  <si>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</si>
  <si>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</si>
  <si>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</si>
  <si>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</si>
  <si>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</si>
  <si>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</si>
  <si>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</si>
  <si>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</si>
  <si>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</si>
  <si>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</si>
  <si>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</si>
  <si>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</si>
  <si>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</si>
  <si>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</si>
  <si>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</si>
  <si>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</si>
  <si>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</si>
  <si>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</si>
  <si>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</si>
  <si>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</si>
  <si>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</si>
  <si>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</si>
  <si>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</si>
  <si>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</si>
  <si>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</si>
  <si>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</si>
  <si>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</si>
  <si>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</si>
  <si>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</si>
  <si>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</si>
  <si>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</si>
  <si>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</si>
  <si>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</si>
  <si>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</si>
  <si>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</si>
  <si>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</si>
  <si>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</si>
  <si>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</si>
  <si>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</si>
  <si>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</si>
  <si>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</si>
  <si>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</si>
  <si>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</si>
  <si>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</si>
  <si>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</si>
  <si>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</si>
  <si>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</si>
  <si>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</si>
  <si>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</si>
  <si>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</si>
  <si>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</si>
  <si>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</si>
  <si>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</si>
  <si>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</si>
  <si>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</si>
  <si>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</si>
  <si>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</si>
  <si>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</si>
  <si>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</si>
  <si>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</si>
  <si>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</si>
  <si>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</si>
  <si>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</si>
  <si>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</si>
  <si>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</si>
  <si>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</si>
  <si>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</si>
  <si>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</si>
  <si>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</si>
  <si>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</si>
  <si>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</si>
  <si>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</si>
  <si>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</si>
  <si>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</si>
  <si>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</si>
  <si>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</si>
  <si>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</si>
  <si>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</si>
  <si>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</si>
  <si>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</si>
  <si>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</si>
  <si>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</si>
  <si>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</si>
  <si>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</si>
  <si>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</si>
  <si>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</si>
  <si>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</si>
  <si>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</si>
  <si>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</si>
  <si>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</si>
  <si>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</si>
  <si>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</si>
  <si>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</si>
  <si>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</si>
  <si>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</si>
  <si>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</si>
  <si>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</si>
  <si>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</si>
  <si>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</si>
  <si>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</si>
  <si>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</si>
  <si>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</si>
  <si>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</si>
  <si>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</si>
  <si>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</si>
  <si>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</si>
  <si>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</si>
  <si>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</si>
  <si>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</si>
  <si>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 xml:space="preserve">           </t>
  </si>
  <si>
    <t>Anita Dixit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</si>
</sst>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3" fillId="0" borderId="0" xfId="0" applyFont="1"/>
    <xf numFmtId="10" fontId="0" fillId="0" borderId="0" xfId="0" applyNumberFormat="1"/>
    <xf numFmtId="0" fontId="8" fillId="5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Project.xlsm]Dashboard!PivotTable5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BC-434C-BA17-AD45287E4A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BC-434C-BA17-AD45287E4A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BC-434C-BA17-AD45287E4A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4BC-434C-BA17-AD45287E4A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17D-46DB-B842-305B5B3E79E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17D-46DB-B842-305B5B3E79EB}"/>
              </c:ext>
            </c:extLst>
          </c:dPt>
          <c:cat>
            <c:strRef>
              <c:f>Dashboard!$D$5:$D$10</c:f>
              <c:strCache>
                <c:ptCount val="6"/>
                <c:pt idx="0">
                  <c:v>Anita Dixit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           </c:v>
                </c:pt>
                <c:pt idx="5">
                  <c:v>Sunil Kumar</c:v>
                </c:pt>
              </c:strCache>
            </c:strRef>
          </c:cat>
          <c:val>
            <c:numRef>
              <c:f>Dashboard!$E$5:$E$10</c:f>
              <c:numCache>
                <c:formatCode>0.00%</c:formatCode>
                <c:ptCount val="6"/>
                <c:pt idx="0">
                  <c:v>0.65495030262646503</c:v>
                </c:pt>
                <c:pt idx="1">
                  <c:v>2.0905948641136138</c:v>
                </c:pt>
                <c:pt idx="2">
                  <c:v>1.064298009533315</c:v>
                </c:pt>
                <c:pt idx="3">
                  <c:v>1.122824596941316</c:v>
                </c:pt>
                <c:pt idx="4">
                  <c:v>1.7236731368386569</c:v>
                </c:pt>
                <c:pt idx="5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5"/>
</file>

<file path=xl/ctrlProps/ctrlProp2.xml><?xml version="1.0" encoding="utf-8"?>
<formControlPr xmlns="http://schemas.microsoft.com/office/spreadsheetml/2009/9/main" objectType="Spin" dx="26" fmlaLink="$C$1" max="200" min="1" page="10" val="5"/>
</file>

<file path=xl/ctrlProps/ctrlProp3.xml><?xml version="1.0" encoding="utf-8"?>
<formControlPr xmlns="http://schemas.microsoft.com/office/spreadsheetml/2009/9/main" objectType="Spin" dx="26" fmlaLink="$C$2" max="200" min="1" page="10" val="6"/>
</file>

<file path=xl/ctrlProps/ctrlProp4.xml><?xml version="1.0" encoding="utf-8"?>
<formControlPr xmlns="http://schemas.microsoft.com/office/spreadsheetml/2009/9/main" objectType="Spin" dx="26" fmlaLink="$C$2" max="200" min="1" page="10" val="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676273</xdr:colOff>
      <xdr:row>0</xdr:row>
      <xdr:rowOff>33337</xdr:rowOff>
    </xdr:from>
    <xdr:to>
      <xdr:col>1</xdr:col>
      <xdr:colOff>1223960</xdr:colOff>
      <xdr:row>1</xdr:row>
      <xdr:rowOff>147637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7F005869-F95A-461A-B2A2-BA6FDF18C897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5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0</xdr:col>
      <xdr:colOff>14288</xdr:colOff>
      <xdr:row>9</xdr:row>
      <xdr:rowOff>14287</xdr:rowOff>
    </xdr:from>
    <xdr:to>
      <xdr:col>1</xdr:col>
      <xdr:colOff>2176463</xdr:colOff>
      <xdr:row>17</xdr:row>
      <xdr:rowOff>104774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2FD11-8338-403B-88D2-358E6848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42862</xdr:rowOff>
    </xdr:from>
    <xdr:to>
      <xdr:col>0</xdr:col>
      <xdr:colOff>800100</xdr:colOff>
      <xdr:row>1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415E298-9FE3-4B5B-90D2-88EE1234BC42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847726</xdr:colOff>
      <xdr:row>0</xdr:row>
      <xdr:rowOff>33337</xdr:rowOff>
    </xdr:from>
    <xdr:to>
      <xdr:col>1</xdr:col>
      <xdr:colOff>352425</xdr:colOff>
      <xdr:row>1</xdr:row>
      <xdr:rowOff>148473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840561</xdr:colOff>
      <xdr:row>0</xdr:row>
      <xdr:rowOff>33341</xdr:rowOff>
    </xdr:from>
    <xdr:to>
      <xdr:col>1</xdr:col>
      <xdr:colOff>346086</xdr:colOff>
      <xdr:row>1</xdr:row>
      <xdr:rowOff>149074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8CCEC325-C68C-4726-9E05-CA4B985FE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708660</xdr:colOff>
          <xdr:row>0</xdr:row>
          <xdr:rowOff>53340</xdr:rowOff>
        </xdr:from>
        <xdr:to>
          <xdr:col>1</xdr:col>
          <xdr:colOff>845820</xdr:colOff>
          <xdr:row>1</xdr:row>
          <xdr:rowOff>137160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1238248</xdr:colOff>
      <xdr:row>0</xdr:row>
      <xdr:rowOff>38100</xdr:rowOff>
    </xdr:from>
    <xdr:to>
      <xdr:col>1</xdr:col>
      <xdr:colOff>2166937</xdr:colOff>
      <xdr:row>1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43845855-B7D5-419A-A767-8B6F060716DA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1950720</xdr:colOff>
          <xdr:row>9</xdr:row>
          <xdr:rowOff>68580</xdr:rowOff>
        </xdr:from>
        <xdr:to>
          <xdr:col>1</xdr:col>
          <xdr:colOff>2087880</xdr:colOff>
          <xdr:row>10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371473</xdr:colOff>
      <xdr:row>0</xdr:row>
      <xdr:rowOff>23812</xdr:rowOff>
    </xdr:from>
    <xdr:to>
      <xdr:col>4</xdr:col>
      <xdr:colOff>919160</xdr:colOff>
      <xdr:row>1</xdr:row>
      <xdr:rowOff>138112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E0989011-7636-4975-919E-01F537D3F6CC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6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9525</xdr:colOff>
      <xdr:row>0</xdr:row>
      <xdr:rowOff>42862</xdr:rowOff>
    </xdr:from>
    <xdr:to>
      <xdr:col>3</xdr:col>
      <xdr:colOff>800100</xdr:colOff>
      <xdr:row>1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EA088A9-49C9-45C1-9722-74840A9F3048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3</xdr:col>
      <xdr:colOff>847726</xdr:colOff>
      <xdr:row>0</xdr:row>
      <xdr:rowOff>33337</xdr:rowOff>
    </xdr:from>
    <xdr:ext cx="409574" cy="296111"/>
    <xdr:pic macro="[0]!Hide_Chart8">
      <xdr:nvPicPr>
        <xdr:cNvPr id="15" name="Picture 14">
          <a:extLst>
            <a:ext uri="{FF2B5EF4-FFF2-40B4-BE49-F238E27FC236}">
              <a16:creationId xmlns:a16="http://schemas.microsoft.com/office/drawing/2014/main" id="{B3819D69-E5E3-4E5C-A191-7DD8BFD7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840561</xdr:colOff>
      <xdr:row>0</xdr:row>
      <xdr:rowOff>33341</xdr:rowOff>
    </xdr:from>
    <xdr:ext cx="410400" cy="296708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8AEA478B-E147-4929-9F5D-4A58F1D7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411480</xdr:colOff>
          <xdr:row>0</xdr:row>
          <xdr:rowOff>45720</xdr:rowOff>
        </xdr:from>
        <xdr:to>
          <xdr:col>4</xdr:col>
          <xdr:colOff>548640</xdr:colOff>
          <xdr:row>1</xdr:row>
          <xdr:rowOff>121920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981075</xdr:colOff>
      <xdr:row>0</xdr:row>
      <xdr:rowOff>38100</xdr:rowOff>
    </xdr:from>
    <xdr:to>
      <xdr:col>5</xdr:col>
      <xdr:colOff>1905</xdr:colOff>
      <xdr:row>1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70E4CD1E-1FAD-43C9-9517-0A08878BBDEC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3</xdr:col>
      <xdr:colOff>850085</xdr:colOff>
      <xdr:row>0</xdr:row>
      <xdr:rowOff>33341</xdr:rowOff>
    </xdr:from>
    <xdr:to>
      <xdr:col>3</xdr:col>
      <xdr:colOff>1260485</xdr:colOff>
      <xdr:row>1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3</xdr:col>
      <xdr:colOff>23813</xdr:colOff>
      <xdr:row>8</xdr:row>
      <xdr:rowOff>176211</xdr:rowOff>
    </xdr:from>
    <xdr:to>
      <xdr:col>4</xdr:col>
      <xdr:colOff>1890713</xdr:colOff>
      <xdr:row>18</xdr:row>
      <xdr:rowOff>166686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0B93DFB-4223-41FE-8DD6-226EE6D23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1668780</xdr:colOff>
          <xdr:row>9</xdr:row>
          <xdr:rowOff>76200</xdr:rowOff>
        </xdr:from>
        <xdr:to>
          <xdr:col>4</xdr:col>
          <xdr:colOff>1805940</xdr:colOff>
          <xdr:row>10</xdr:row>
          <xdr:rowOff>152400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 refreshError="1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2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." fld="2" baseField="1" baseItem="15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D651-A8EF-42FB-95B7-19DA109CACB9}" name="PivotTable5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3">
  <location ref="D4:E10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6">
    <i>
      <x v="5"/>
    </i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1" baseItem="0" numFmtId="10"/>
  </dataFields>
  <chartFormats count="7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1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tabSelected="1" topLeftCell="A93" zoomScale="82" zoomScaleNormal="145" workbookViewId="0">
      <selection sqref="A1:I150"/>
    </sheetView>
  </sheetViews>
  <sheetFormatPr defaultRowHeight="14.4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sheetProtection algorithmName="SHA-512" hashValue="whnnUh8oC9hHOuDOU9LyL+ja5WdszEkNXD97DI5MIXirD6rXLaoUfVXoV+eFSKXdxPd6pDBSoEXoRTNHVu5xIQ==" saltValue="gXlLbvEvnwwDMtPDhTm7+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topLeftCell="J1" zoomScale="98" zoomScaleNormal="175" workbookViewId="0">
      <selection sqref="A1:Q1048576"/>
    </sheetView>
  </sheetViews>
  <sheetFormatPr defaultRowHeight="14.4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0" customFormat="1" ht="39.6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sheetProtection algorithmName="SHA-512" hashValue="fID1ZejTZmnQYk9t7JG9G0JXC/Bf5TVRAF6t9xcrtFz4XFSySD3jL0Yv5+6eV+9QiuhwC6/0sQhY3Yhwy8gcrw==" saltValue="WbOW7zi9kQ5iuM7HTkeB/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topLeftCell="D1" zoomScale="83" zoomScaleNormal="145" workbookViewId="0">
      <selection sqref="A1:J1048576"/>
    </sheetView>
  </sheetViews>
  <sheetFormatPr defaultRowHeight="14.4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sheetProtection algorithmName="SHA-512" hashValue="XJ+EA2ySO3t1+LiMZ+9Y0K/RkTNJYqRWgeyGpCKJExvLdvqHH9Df7o5dauapJ8scSatQBxk09/Bi7jiJWOlP3Q==" saltValue="NGjxk4+nTHcCdmKXUiPN8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topLeftCell="A132" zoomScale="115" zoomScaleNormal="115" workbookViewId="0">
      <selection activeCell="G2" sqref="A2:G150"/>
    </sheetView>
  </sheetViews>
  <sheetFormatPr defaultRowHeight="14.4"/>
  <cols>
    <col min="1" max="1" width="29.33203125" customWidth="1"/>
    <col min="2" max="2" width="13.88671875" customWidth="1"/>
    <col min="3" max="3" width="29.88671875" customWidth="1"/>
    <col min="4" max="4" width="18.77734375" customWidth="1"/>
    <col min="5" max="5" width="17.6640625" customWidth="1"/>
    <col min="6" max="6" width="11.33203125" bestFit="1" customWidth="1"/>
    <col min="7" max="7" width="13.44140625" bestFit="1" customWidth="1"/>
  </cols>
  <sheetData>
    <row r="1" spans="1:7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>
      <c r="A2" t="str">
        <f>Break!A2</f>
        <v>Mum_Abdul Hamid (1008512)</v>
      </c>
      <c r="B2" t="str">
        <f>MID(A2,FIND("_",A2,1)+1,FIND("(",A2,1)-FIND("_",A2,1)-2)</f>
        <v>Abdul Hamid</v>
      </c>
      <c r="C2" s="12">
        <f t="shared" ref="C2:C33" si="0">TIMEVALUE(VLOOKUP(A2,EData,2,0))</f>
        <v>0.34424768518518517</v>
      </c>
      <c r="D2" s="12">
        <f t="shared" ref="D2:D33" si="1">TIMEVALUE(VLOOKUP(A2,EData,3,0))</f>
        <v>0.20693287037037036</v>
      </c>
      <c r="E2" s="12">
        <f t="shared" ref="E2:E33" si="2">TIMEVALUE(VLOOKUP(A2,BData,9,0))</f>
        <v>4.7708333333333332E-2</v>
      </c>
      <c r="F2">
        <f t="shared" ref="F2:F33" si="3">VLOOKUP(A2,PData,2,0)</f>
        <v>98</v>
      </c>
      <c r="G2" s="13">
        <f t="shared" ref="G2:G33" si="4">VLOOKUP(A2,EData,6,0)</f>
        <v>0.55697138822580095</v>
      </c>
    </row>
    <row r="3" spans="1:7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0.20733796296296297</v>
      </c>
      <c r="E3" s="12">
        <f t="shared" si="2"/>
        <v>4.8599537037037038E-2</v>
      </c>
      <c r="F3">
        <f t="shared" si="3"/>
        <v>23</v>
      </c>
      <c r="G3" s="13">
        <f t="shared" si="4"/>
        <v>0.58027306967984904</v>
      </c>
    </row>
    <row r="4" spans="1:7">
      <c r="A4" t="str">
        <f>Break!A4</f>
        <v>Mum_Anamika Gupta (1008514)</v>
      </c>
      <c r="B4" t="str">
        <f t="shared" si="5"/>
        <v>Anamika Gupta</v>
      </c>
      <c r="C4" s="12">
        <f t="shared" si="0"/>
        <v>0.34510416666666666</v>
      </c>
      <c r="D4" s="12">
        <f t="shared" si="1"/>
        <v>0.20109953703703703</v>
      </c>
      <c r="E4" s="12">
        <f t="shared" si="2"/>
        <v>5.1319444444444445E-2</v>
      </c>
      <c r="F4">
        <f t="shared" si="3"/>
        <v>28</v>
      </c>
      <c r="G4" s="13">
        <f t="shared" si="4"/>
        <v>0.51708756749505302</v>
      </c>
    </row>
    <row r="5" spans="1:7">
      <c r="A5" t="str">
        <f>Break!A5</f>
        <v>Mum_Anikuttan (1008515)</v>
      </c>
      <c r="B5" t="str">
        <f t="shared" si="5"/>
        <v>Anikuttan</v>
      </c>
      <c r="C5" s="12">
        <f t="shared" si="0"/>
        <v>0.34023148148148147</v>
      </c>
      <c r="D5" s="12">
        <f t="shared" si="1"/>
        <v>0.17884259259259258</v>
      </c>
      <c r="E5" s="12">
        <f t="shared" si="2"/>
        <v>9.6550925925925929E-2</v>
      </c>
      <c r="F5">
        <f t="shared" si="3"/>
        <v>29</v>
      </c>
      <c r="G5" s="13">
        <f t="shared" si="4"/>
        <v>0.47720778337188702</v>
      </c>
    </row>
    <row r="6" spans="1:7">
      <c r="A6" t="str">
        <f>Break!A6</f>
        <v>Mum_Anil Kumar (1008516)</v>
      </c>
      <c r="B6" t="str">
        <f t="shared" si="5"/>
        <v>Anil Kumar</v>
      </c>
      <c r="C6" s="12">
        <f t="shared" si="0"/>
        <v>0.30603009259259262</v>
      </c>
      <c r="D6" s="12">
        <f t="shared" si="1"/>
        <v>0.13870370370370369</v>
      </c>
      <c r="E6" s="12">
        <f t="shared" si="2"/>
        <v>0.12844907407407408</v>
      </c>
      <c r="F6">
        <f t="shared" si="3"/>
        <v>93</v>
      </c>
      <c r="G6" s="13">
        <f t="shared" si="4"/>
        <v>0.43288831738587802</v>
      </c>
    </row>
    <row r="7" spans="1:7">
      <c r="A7" t="str">
        <f>Break!A7</f>
        <v>Mum_Anita Dixit (1008517)</v>
      </c>
      <c r="B7" t="str">
        <f t="shared" si="5"/>
        <v>Anita Dixit</v>
      </c>
      <c r="C7" s="12">
        <f t="shared" si="0"/>
        <v>0.2084375</v>
      </c>
      <c r="D7" s="12">
        <f t="shared" si="1"/>
        <v>0.15369212962962964</v>
      </c>
      <c r="E7" s="12">
        <f t="shared" si="2"/>
        <v>1.8831018518518518E-2</v>
      </c>
      <c r="F7">
        <f t="shared" si="3"/>
        <v>92</v>
      </c>
      <c r="G7" s="13">
        <f t="shared" si="4"/>
        <v>0.65495030262646503</v>
      </c>
    </row>
    <row r="8" spans="1:7">
      <c r="A8" t="str">
        <f>Break!A8</f>
        <v>Mum_Anita Ghore (1008518)</v>
      </c>
      <c r="B8" t="str">
        <f t="shared" si="5"/>
        <v>Anita Ghore</v>
      </c>
      <c r="C8" s="12">
        <f t="shared" si="0"/>
        <v>0.34488425925925925</v>
      </c>
      <c r="D8" s="12">
        <f t="shared" si="1"/>
        <v>0.17553240740740741</v>
      </c>
      <c r="E8" s="12">
        <f t="shared" si="2"/>
        <v>0.11229166666666666</v>
      </c>
      <c r="F8">
        <f t="shared" si="3"/>
        <v>26</v>
      </c>
      <c r="G8" s="13">
        <f t="shared" si="4"/>
        <v>0.49476474931203401</v>
      </c>
    </row>
    <row r="9" spans="1:7">
      <c r="A9" t="str">
        <f>Break!A9</f>
        <v>Mum_Anjali Deoram (1008519)</v>
      </c>
      <c r="B9" t="str">
        <f t="shared" si="5"/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5.0810185185185187E-2</v>
      </c>
      <c r="F9">
        <f t="shared" si="3"/>
        <v>90</v>
      </c>
      <c r="G9" s="13">
        <f t="shared" si="4"/>
        <v>0.55128627474469205</v>
      </c>
    </row>
    <row r="10" spans="1:7">
      <c r="A10" t="str">
        <f>Break!A10</f>
        <v>Mum_Anjali Sahay (1008520)</v>
      </c>
      <c r="B10" t="str">
        <f t="shared" si="5"/>
        <v>Anjali Sahay</v>
      </c>
      <c r="C10" s="12">
        <f t="shared" si="0"/>
        <v>0.34256944444444443</v>
      </c>
      <c r="D10" s="12">
        <f t="shared" si="1"/>
        <v>0.20311342592592593</v>
      </c>
      <c r="E10" s="12">
        <f t="shared" si="2"/>
        <v>4.628472222222222E-2</v>
      </c>
      <c r="F10">
        <f t="shared" si="3"/>
        <v>89</v>
      </c>
      <c r="G10" s="13">
        <f t="shared" si="4"/>
        <v>0.55206432867085597</v>
      </c>
    </row>
    <row r="11" spans="1:7">
      <c r="A11" t="str">
        <f>Break!A11</f>
        <v>Mum_Annu Latika (1008521)</v>
      </c>
      <c r="B1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4.8576388888888891E-2</v>
      </c>
      <c r="F11">
        <f t="shared" si="3"/>
        <v>54</v>
      </c>
      <c r="G11" s="13">
        <f t="shared" si="4"/>
        <v>0.56868945774108703</v>
      </c>
    </row>
    <row r="12" spans="1:7">
      <c r="A12" t="str">
        <f>Break!A12</f>
        <v>Mum_Anoop Narayan (1008522)</v>
      </c>
      <c r="B12" t="str">
        <f t="shared" si="5"/>
        <v>Anoop Narayan</v>
      </c>
      <c r="C12" s="12">
        <f t="shared" si="0"/>
        <v>0.34068287037037037</v>
      </c>
      <c r="D12" s="12">
        <f t="shared" si="1"/>
        <v>0.20518518518518519</v>
      </c>
      <c r="E12" s="12">
        <f t="shared" si="2"/>
        <v>4.809027777777778E-2</v>
      </c>
      <c r="F12">
        <f t="shared" si="3"/>
        <v>87</v>
      </c>
      <c r="G12" s="13">
        <f t="shared" si="4"/>
        <v>0.56035332087650802</v>
      </c>
    </row>
    <row r="13" spans="1:7">
      <c r="A13" t="str">
        <f>Break!A13</f>
        <v>Mum_Anoop Raj (1008523)</v>
      </c>
      <c r="B13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0.12590277777777778</v>
      </c>
      <c r="F13">
        <f t="shared" si="3"/>
        <v>65</v>
      </c>
      <c r="G13" s="13">
        <f t="shared" si="4"/>
        <v>0.41552495697073999</v>
      </c>
    </row>
    <row r="14" spans="1:7">
      <c r="A14" t="str">
        <f>Break!A14</f>
        <v>Mum_Anubhuti Gupta (1008524)</v>
      </c>
      <c r="B14" t="str">
        <f t="shared" si="5"/>
        <v>Anubhuti Gupta</v>
      </c>
      <c r="C14" s="12">
        <f t="shared" si="0"/>
        <v>0.34349537037037037</v>
      </c>
      <c r="D14" s="12">
        <f t="shared" si="1"/>
        <v>0.19699074074074074</v>
      </c>
      <c r="E14" s="12">
        <f t="shared" si="2"/>
        <v>8.7974537037037032E-2</v>
      </c>
      <c r="F14">
        <f t="shared" si="3"/>
        <v>85</v>
      </c>
      <c r="G14" s="13">
        <f t="shared" si="4"/>
        <v>0.50026955994339195</v>
      </c>
    </row>
    <row r="15" spans="1:7">
      <c r="A15" t="str">
        <f>Break!A15</f>
        <v>Mum_Arun Kumar (1008525)</v>
      </c>
      <c r="B15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4.9004629629629627E-2</v>
      </c>
      <c r="F15">
        <f t="shared" si="3"/>
        <v>65</v>
      </c>
      <c r="G15" s="13">
        <f t="shared" si="4"/>
        <v>0.51396318166029897</v>
      </c>
    </row>
    <row r="16" spans="1:7">
      <c r="A16" t="str">
        <f>Break!A16</f>
        <v>Mum_Ashish Kumar (1008526)</v>
      </c>
      <c r="B16" t="str">
        <f t="shared" si="5"/>
        <v>Ashish Kumar</v>
      </c>
      <c r="C16" s="12">
        <f t="shared" si="0"/>
        <v>0.34512731481481479</v>
      </c>
      <c r="D16" s="12">
        <f t="shared" si="1"/>
        <v>0.2066550925925926</v>
      </c>
      <c r="E16" s="12">
        <f t="shared" si="2"/>
        <v>5.3460648148148146E-2</v>
      </c>
      <c r="F16">
        <f t="shared" si="3"/>
        <v>83</v>
      </c>
      <c r="G16" s="13">
        <f t="shared" si="4"/>
        <v>0.510580502364264</v>
      </c>
    </row>
    <row r="17" spans="1:7">
      <c r="A17" t="str">
        <f>Break!A17</f>
        <v>Mum_Ashok Kumar (1008527)</v>
      </c>
      <c r="B17" t="str">
        <f t="shared" si="5"/>
        <v>Ashok Kumar</v>
      </c>
      <c r="C17" s="12">
        <f t="shared" si="0"/>
        <v>0.34531250000000002</v>
      </c>
      <c r="D17" s="12">
        <f t="shared" si="1"/>
        <v>0.17390046296296297</v>
      </c>
      <c r="E17" s="12">
        <f t="shared" si="2"/>
        <v>0.10023148148148148</v>
      </c>
      <c r="F17">
        <f t="shared" si="3"/>
        <v>82</v>
      </c>
      <c r="G17" s="13">
        <f t="shared" si="4"/>
        <v>0.48292274174627098</v>
      </c>
    </row>
    <row r="18" spans="1:7">
      <c r="A18" t="str">
        <f>Break!A18</f>
        <v>Hyd_Ashok Kumar (1008528)</v>
      </c>
      <c r="B18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3.9224537037037037E-2</v>
      </c>
      <c r="F18">
        <f t="shared" si="3"/>
        <v>81</v>
      </c>
      <c r="G18" s="13">
        <f t="shared" si="4"/>
        <v>0.57362319861879396</v>
      </c>
    </row>
    <row r="19" spans="1:7">
      <c r="A19" t="str">
        <f>Break!A19</f>
        <v>Hyd_Ashok Kumar (1008529)</v>
      </c>
      <c r="B19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4.8692129629629627E-2</v>
      </c>
      <c r="F19">
        <f t="shared" si="3"/>
        <v>80</v>
      </c>
      <c r="G19" s="13">
        <f t="shared" si="4"/>
        <v>0.56430560681810604</v>
      </c>
    </row>
    <row r="20" spans="1:7">
      <c r="A20" t="str">
        <f>Break!A20</f>
        <v>Hyd_Ashok Kumar (1008530)</v>
      </c>
      <c r="B20" t="str">
        <f t="shared" si="5"/>
        <v>Ashok Kumar</v>
      </c>
      <c r="C20" s="12">
        <f t="shared" si="0"/>
        <v>0.34810185185185183</v>
      </c>
      <c r="D20" s="12">
        <f t="shared" si="1"/>
        <v>0.18267361111111111</v>
      </c>
      <c r="E20" s="12">
        <f t="shared" si="2"/>
        <v>0.11122685185185185</v>
      </c>
      <c r="F20">
        <f t="shared" si="3"/>
        <v>79</v>
      </c>
      <c r="G20" s="13">
        <f t="shared" si="4"/>
        <v>0.46974331693044302</v>
      </c>
    </row>
    <row r="21" spans="1:7">
      <c r="A21" t="str">
        <f>Break!A21</f>
        <v>Hyd_Ashok Mahto (1008531)</v>
      </c>
      <c r="B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5.1736111111111108E-2</v>
      </c>
      <c r="F21">
        <f t="shared" si="3"/>
        <v>78</v>
      </c>
      <c r="G21" s="13">
        <f t="shared" si="4"/>
        <v>0.57495313336904097</v>
      </c>
    </row>
    <row r="22" spans="1:7">
      <c r="A22" t="str">
        <f>Break!A22</f>
        <v>Hyd_Atul Kumar (1008532)</v>
      </c>
      <c r="B22" t="str">
        <f t="shared" si="5"/>
        <v>Atul Kumar</v>
      </c>
      <c r="C22" s="12">
        <f t="shared" si="0"/>
        <v>0.34283564814814815</v>
      </c>
      <c r="D22" s="12">
        <f t="shared" si="1"/>
        <v>0.20393518518518519</v>
      </c>
      <c r="E22" s="12">
        <f t="shared" si="2"/>
        <v>4.6516203703703705E-2</v>
      </c>
      <c r="F22">
        <f t="shared" si="3"/>
        <v>77</v>
      </c>
      <c r="G22" s="13">
        <f t="shared" si="4"/>
        <v>0.57945376590932096</v>
      </c>
    </row>
    <row r="23" spans="1:7">
      <c r="A23" t="str">
        <f>Break!A23</f>
        <v>Hyd_Azam (1008533)</v>
      </c>
      <c r="B23" t="str">
        <f t="shared" si="5"/>
        <v>Azam</v>
      </c>
      <c r="C23" s="12">
        <f t="shared" si="0"/>
        <v>0.34553240740740743</v>
      </c>
      <c r="D23" s="12">
        <f t="shared" si="1"/>
        <v>0.20821759259259259</v>
      </c>
      <c r="E23" s="12">
        <f t="shared" si="2"/>
        <v>4.8460648148148149E-2</v>
      </c>
      <c r="F23">
        <f t="shared" si="3"/>
        <v>76</v>
      </c>
      <c r="G23" s="13">
        <f t="shared" si="4"/>
        <v>0.588296375695049</v>
      </c>
    </row>
    <row r="24" spans="1:7">
      <c r="A24" t="str">
        <f>Break!A24</f>
        <v>Hyd_Bhagwat Singh (1008534)</v>
      </c>
      <c r="B24" t="str">
        <f t="shared" si="5"/>
        <v>Bhagwat Singh</v>
      </c>
      <c r="C24" s="12">
        <f t="shared" si="0"/>
        <v>0.32064814814814813</v>
      </c>
      <c r="D24" s="12">
        <f t="shared" si="1"/>
        <v>0.17288194444444444</v>
      </c>
      <c r="E24" s="12">
        <f t="shared" si="2"/>
        <v>9.0486111111111114E-2</v>
      </c>
      <c r="F24">
        <f t="shared" si="3"/>
        <v>75</v>
      </c>
      <c r="G24" s="13">
        <f t="shared" si="4"/>
        <v>0.46267686976609901</v>
      </c>
    </row>
    <row r="25" spans="1:7">
      <c r="A25" t="str">
        <f>Break!A25</f>
        <v>Hyd_Bindu Nair (1008535)</v>
      </c>
      <c r="B25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9.1168981481481476E-2</v>
      </c>
      <c r="F25">
        <f t="shared" si="3"/>
        <v>74</v>
      </c>
      <c r="G25" s="13">
        <f t="shared" si="4"/>
        <v>0.478030199972793</v>
      </c>
    </row>
    <row r="26" spans="1:7">
      <c r="A26" t="str">
        <f>Break!A26</f>
        <v>Hyd_Daleep Singh (1008536)</v>
      </c>
      <c r="B26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5.0625000000000003E-2</v>
      </c>
      <c r="F26">
        <f t="shared" si="3"/>
        <v>73</v>
      </c>
      <c r="G26" s="13">
        <f t="shared" si="4"/>
        <v>0.59983142279163904</v>
      </c>
    </row>
    <row r="27" spans="1:7">
      <c r="A27" t="str">
        <f>Break!A27</f>
        <v>Hyd_Deepak Kumar (1008537)</v>
      </c>
      <c r="B27" t="str">
        <f t="shared" si="5"/>
        <v>Deepak Kumar</v>
      </c>
      <c r="C27" s="12">
        <f t="shared" si="0"/>
        <v>0.31663194444444442</v>
      </c>
      <c r="D27" s="12">
        <f t="shared" si="1"/>
        <v>0.21199074074074073</v>
      </c>
      <c r="E27" s="12">
        <f t="shared" si="2"/>
        <v>2.1180555555555557E-2</v>
      </c>
      <c r="F27">
        <f t="shared" si="3"/>
        <v>72</v>
      </c>
      <c r="G27" s="13">
        <f t="shared" si="4"/>
        <v>0.65029060203969702</v>
      </c>
    </row>
    <row r="28" spans="1:7">
      <c r="A28" t="str">
        <f>Break!A28</f>
        <v>Hyd_Deepika Nigam (1008538)</v>
      </c>
      <c r="B28" t="str">
        <f t="shared" si="5"/>
        <v>Deepika Nigam</v>
      </c>
      <c r="C28" s="12">
        <f t="shared" si="0"/>
        <v>0.34512731481481479</v>
      </c>
      <c r="D28" s="12">
        <f t="shared" si="1"/>
        <v>0.20607638888888888</v>
      </c>
      <c r="E28" s="12">
        <f t="shared" si="2"/>
        <v>4.9768518518518517E-2</v>
      </c>
      <c r="F28">
        <f t="shared" si="3"/>
        <v>71</v>
      </c>
      <c r="G28" s="13">
        <f t="shared" si="4"/>
        <v>0.55001844461584903</v>
      </c>
    </row>
    <row r="29" spans="1:7">
      <c r="A29" t="str">
        <f>Break!A29</f>
        <v>Hyd_Dinesh Kumar (1008539)</v>
      </c>
      <c r="B29" t="str">
        <f t="shared" si="5"/>
        <v>Dinesh Kumar</v>
      </c>
      <c r="C29" s="12">
        <f t="shared" si="0"/>
        <v>0.34297453703703706</v>
      </c>
      <c r="D29" s="12">
        <f t="shared" si="1"/>
        <v>0.21273148148148149</v>
      </c>
      <c r="E29" s="12">
        <f t="shared" si="2"/>
        <v>4.8645833333333333E-2</v>
      </c>
      <c r="F29">
        <f t="shared" si="3"/>
        <v>70</v>
      </c>
      <c r="G29" s="13">
        <f t="shared" si="4"/>
        <v>0.51334660682347399</v>
      </c>
    </row>
    <row r="30" spans="1:7">
      <c r="A30" t="str">
        <f>Break!A30</f>
        <v>Hyd_Hari Kumar (1008540)</v>
      </c>
      <c r="B30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0.11449074074074074</v>
      </c>
      <c r="F30">
        <f t="shared" si="3"/>
        <v>69</v>
      </c>
      <c r="G30" s="13">
        <f t="shared" si="4"/>
        <v>0.43603379219817601</v>
      </c>
    </row>
    <row r="31" spans="1:7">
      <c r="A31" t="str">
        <f>Break!A31</f>
        <v>Hyd_Heeramani Choudhary (1008541)</v>
      </c>
      <c r="B3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5.5787037037037038E-2</v>
      </c>
      <c r="F31">
        <f t="shared" si="3"/>
        <v>68</v>
      </c>
      <c r="G31" s="13">
        <f t="shared" si="4"/>
        <v>0.52954105200417201</v>
      </c>
    </row>
    <row r="32" spans="1:7">
      <c r="A32" t="str">
        <f>Break!A32</f>
        <v>Hyd_Indra Pal (1008542)</v>
      </c>
      <c r="B32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4.809027777777778E-2</v>
      </c>
      <c r="F32">
        <f t="shared" si="3"/>
        <v>67</v>
      </c>
      <c r="G32" s="13">
        <f t="shared" si="4"/>
        <v>0.56446852102649603</v>
      </c>
    </row>
    <row r="33" spans="1:7">
      <c r="A33" t="str">
        <f>Break!A33</f>
        <v>Hyd_Indra Singh (1008543)</v>
      </c>
      <c r="B33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8.9745370370370364E-2</v>
      </c>
      <c r="F33">
        <f t="shared" si="3"/>
        <v>66</v>
      </c>
      <c r="G33" s="13">
        <f t="shared" si="4"/>
        <v>0.49789043664612898</v>
      </c>
    </row>
    <row r="34" spans="1:7">
      <c r="A34" t="str">
        <f>Break!A34</f>
        <v>Hyd_Jagdish Chandra (1008544)</v>
      </c>
      <c r="B34" t="str">
        <f t="shared" si="5"/>
        <v>Jagdish Chandra</v>
      </c>
      <c r="C34" s="12">
        <f t="shared" ref="C34:C65" si="6">TIMEVALUE(VLOOKUP(A34,EData,2,0))</f>
        <v>0.34664351851851855</v>
      </c>
      <c r="D34" s="12">
        <f t="shared" ref="D34:D65" si="7">TIMEVALUE(VLOOKUP(A34,EData,3,0))</f>
        <v>0.20781250000000001</v>
      </c>
      <c r="E34" s="12">
        <f t="shared" ref="E34:E65" si="8">TIMEVALUE(VLOOKUP(A34,BData,9,0))</f>
        <v>4.7951388888888891E-2</v>
      </c>
      <c r="F34">
        <f t="shared" ref="F34:F65" si="9">VLOOKUP(A34,PData,2,0)</f>
        <v>65</v>
      </c>
      <c r="G34" s="13">
        <f t="shared" ref="G34:G65" si="10">VLOOKUP(A34,EData,6,0)</f>
        <v>0.56270450751252099</v>
      </c>
    </row>
    <row r="35" spans="1:7">
      <c r="A35" t="str">
        <f>Break!A35</f>
        <v>Hyd_Jairaj Vatham (1008545)</v>
      </c>
      <c r="B35" t="str">
        <f t="shared" si="5"/>
        <v>Jairaj Vatham</v>
      </c>
      <c r="C35" s="12">
        <f t="shared" si="6"/>
        <v>0.34471064814814817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3">
        <f t="shared" si="10"/>
        <v>0.57680556021891705</v>
      </c>
    </row>
    <row r="36" spans="1:7">
      <c r="A36" t="str">
        <f>Break!A36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3">
        <f t="shared" si="10"/>
        <v>0.55728373576970502</v>
      </c>
    </row>
    <row r="37" spans="1:7">
      <c r="A37" t="str">
        <f>Break!A37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0.17200231481481482</v>
      </c>
      <c r="E37" s="12">
        <f t="shared" si="8"/>
        <v>0.10777777777777778</v>
      </c>
      <c r="F37">
        <f t="shared" si="9"/>
        <v>62</v>
      </c>
      <c r="G37" s="13">
        <f t="shared" si="10"/>
        <v>0.47590463594126198</v>
      </c>
    </row>
    <row r="38" spans="1:7">
      <c r="A38" t="str">
        <f>Break!A38</f>
        <v>Hyd_John D'Costa (1008548)</v>
      </c>
      <c r="B38" t="str">
        <f t="shared" si="5"/>
        <v>John D'Costa</v>
      </c>
      <c r="C38" s="12">
        <f t="shared" si="6"/>
        <v>0.34012731481481484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3">
        <f t="shared" si="10"/>
        <v>0.55636846224520997</v>
      </c>
    </row>
    <row r="39" spans="1:7">
      <c r="A39" t="str">
        <f>Break!A39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0.20569444444444446</v>
      </c>
      <c r="E39" s="12">
        <f t="shared" si="8"/>
        <v>4.912037037037037E-2</v>
      </c>
      <c r="F39">
        <f t="shared" si="9"/>
        <v>60</v>
      </c>
      <c r="G39" s="13">
        <f t="shared" si="10"/>
        <v>0.527970147246689</v>
      </c>
    </row>
    <row r="40" spans="1:7">
      <c r="A40" t="str">
        <f>Break!A40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4.8923611111111112E-2</v>
      </c>
      <c r="F40">
        <f t="shared" si="9"/>
        <v>59</v>
      </c>
      <c r="G40" s="13">
        <f t="shared" si="10"/>
        <v>0.565025741108382</v>
      </c>
    </row>
    <row r="41" spans="1:7">
      <c r="A41" t="str">
        <f>Break!A41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4.8750000000000002E-2</v>
      </c>
      <c r="F41">
        <f t="shared" si="9"/>
        <v>58</v>
      </c>
      <c r="G41" s="13">
        <f t="shared" si="10"/>
        <v>0.48579278917035301</v>
      </c>
    </row>
    <row r="42" spans="1:7">
      <c r="A42" t="str">
        <f>Break!A42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3">
        <f t="shared" si="10"/>
        <v>0.572258996673499</v>
      </c>
    </row>
    <row r="43" spans="1:7">
      <c r="A43" t="str">
        <f>Break!A43</f>
        <v>Hyd_Kalpana Agrawal (1008553)</v>
      </c>
      <c r="B43" t="str">
        <f t="shared" si="5"/>
        <v>Kalpana Agrawal</v>
      </c>
      <c r="C43" s="12">
        <f t="shared" si="6"/>
        <v>0.3334259259259259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3">
        <f t="shared" si="10"/>
        <v>0.46542627048042201</v>
      </c>
    </row>
    <row r="44" spans="1:7">
      <c r="A44" t="str">
        <f>Break!A44</f>
        <v>Hyd_Kamini Kumar (1008554)</v>
      </c>
      <c r="B44" t="str">
        <f t="shared" si="5"/>
        <v>Kamini Kumar</v>
      </c>
      <c r="C44" s="12">
        <f t="shared" si="6"/>
        <v>0.20945601851851853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3">
        <f t="shared" si="10"/>
        <v>0.64380836602751801</v>
      </c>
    </row>
    <row r="45" spans="1:7">
      <c r="A45" t="str">
        <f>Break!A45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0.22140046296296295</v>
      </c>
      <c r="E45" s="12">
        <f t="shared" si="8"/>
        <v>4.8437500000000001E-2</v>
      </c>
      <c r="F45">
        <f t="shared" si="9"/>
        <v>54</v>
      </c>
      <c r="G45" s="13">
        <f t="shared" si="10"/>
        <v>0.57347234098533195</v>
      </c>
    </row>
    <row r="46" spans="1:7">
      <c r="A46" t="str">
        <f>Break!A46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3.9108796296296294E-2</v>
      </c>
      <c r="F46">
        <f t="shared" si="9"/>
        <v>53</v>
      </c>
      <c r="G46" s="13">
        <f t="shared" si="10"/>
        <v>0.64717479317021698</v>
      </c>
    </row>
    <row r="47" spans="1:7">
      <c r="A47" t="str">
        <f>Break!A47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0.17586805555555557</v>
      </c>
      <c r="E47" s="12">
        <f t="shared" si="8"/>
        <v>9.0555555555555556E-2</v>
      </c>
      <c r="F47">
        <f t="shared" si="9"/>
        <v>52</v>
      </c>
      <c r="G47" s="13">
        <f t="shared" si="10"/>
        <v>0.50443090556632497</v>
      </c>
    </row>
    <row r="48" spans="1:7">
      <c r="A48" t="str">
        <f>Break!A48</f>
        <v>Hyd_Kisun Sah (1008558)</v>
      </c>
      <c r="B48" t="str">
        <f t="shared" si="5"/>
        <v>Kisun Sah</v>
      </c>
      <c r="C48" s="12">
        <f t="shared" si="6"/>
        <v>0.34831018518518519</v>
      </c>
      <c r="D48" s="12">
        <f t="shared" si="7"/>
        <v>0.21436342592592592</v>
      </c>
      <c r="E48" s="12">
        <f t="shared" si="8"/>
        <v>4.8240740740740744E-2</v>
      </c>
      <c r="F48">
        <f t="shared" si="9"/>
        <v>51</v>
      </c>
      <c r="G48" s="13">
        <f t="shared" si="10"/>
        <v>0.55280122283511701</v>
      </c>
    </row>
    <row r="49" spans="1:7">
      <c r="A49" t="str">
        <f>Break!A49</f>
        <v>Hyd_Krishana Kumar (1008559)</v>
      </c>
      <c r="B49" t="str">
        <f t="shared" si="5"/>
        <v>Krishana Kumar</v>
      </c>
      <c r="C49" s="12">
        <f t="shared" si="6"/>
        <v>0.34407407407407409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3">
        <f t="shared" si="10"/>
        <v>0.55493137782561897</v>
      </c>
    </row>
    <row r="50" spans="1:7">
      <c r="A50" t="str">
        <f>Break!A50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0.19598379629629631</v>
      </c>
      <c r="E50" s="12">
        <f t="shared" si="8"/>
        <v>4.8738425925925928E-2</v>
      </c>
      <c r="F50">
        <f t="shared" si="9"/>
        <v>49</v>
      </c>
      <c r="G50" s="13">
        <f t="shared" si="10"/>
        <v>0.55217497131332804</v>
      </c>
    </row>
    <row r="51" spans="1:7">
      <c r="A51" t="str">
        <f>Break!A51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3">
        <f t="shared" si="10"/>
        <v>0.58819557756147001</v>
      </c>
    </row>
    <row r="52" spans="1:7">
      <c r="A52" t="str">
        <f>Break!A52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5.1898148148148152E-2</v>
      </c>
      <c r="F52">
        <f t="shared" si="9"/>
        <v>47</v>
      </c>
      <c r="G52" s="13">
        <f t="shared" si="10"/>
        <v>0.55534863732407003</v>
      </c>
    </row>
    <row r="53" spans="1:7">
      <c r="A53" t="str">
        <f>Break!A53</f>
        <v>Hyd_Mangal Singh (1008563)</v>
      </c>
      <c r="B53" t="str">
        <f t="shared" si="5"/>
        <v>Mangal Singh</v>
      </c>
      <c r="C53" s="12">
        <f t="shared" si="6"/>
        <v>0.33348379629629632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3">
        <f t="shared" si="10"/>
        <v>0.55815083469267301</v>
      </c>
    </row>
    <row r="54" spans="1:7">
      <c r="A54" t="str">
        <f>Break!A54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3">
        <f t="shared" si="10"/>
        <v>0.53002824185919895</v>
      </c>
    </row>
    <row r="55" spans="1:7">
      <c r="A55" t="str">
        <f>Break!A55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3">
        <f t="shared" si="10"/>
        <v>0.54639905548996504</v>
      </c>
    </row>
    <row r="56" spans="1:7">
      <c r="A56" t="str">
        <f>Break!A56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0.18484953703703705</v>
      </c>
      <c r="E56" s="12">
        <f t="shared" si="8"/>
        <v>4.9143518518518517E-2</v>
      </c>
      <c r="F56">
        <f t="shared" si="9"/>
        <v>43</v>
      </c>
      <c r="G56" s="13">
        <f t="shared" si="10"/>
        <v>0.52849609939323905</v>
      </c>
    </row>
    <row r="57" spans="1:7">
      <c r="A57" t="str">
        <f>Break!A57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3">
        <f t="shared" si="10"/>
        <v>0.53279711551795905</v>
      </c>
    </row>
    <row r="58" spans="1:7">
      <c r="A58" t="str">
        <f>Break!A58</f>
        <v>Hyd_Manoj Kumar (1008568)</v>
      </c>
      <c r="B58" t="str">
        <f t="shared" si="5"/>
        <v>Manoj Kumar</v>
      </c>
      <c r="C58" s="12">
        <f t="shared" si="6"/>
        <v>0.33012731481481483</v>
      </c>
      <c r="D58" s="12">
        <f t="shared" si="7"/>
        <v>0.18739583333333334</v>
      </c>
      <c r="E58" s="12">
        <f t="shared" si="8"/>
        <v>5.2766203703703704E-2</v>
      </c>
      <c r="F58">
        <f t="shared" si="9"/>
        <v>41</v>
      </c>
      <c r="G58" s="13">
        <f t="shared" si="10"/>
        <v>0.53150089401535605</v>
      </c>
    </row>
    <row r="59" spans="1:7">
      <c r="A59" t="str">
        <f>Break!A59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0.21151620370370369</v>
      </c>
      <c r="E59" s="12">
        <f t="shared" si="8"/>
        <v>4.9756944444444444E-2</v>
      </c>
      <c r="F59">
        <f t="shared" si="9"/>
        <v>40</v>
      </c>
      <c r="G59" s="13">
        <f t="shared" si="10"/>
        <v>0.58954564004897303</v>
      </c>
    </row>
    <row r="60" spans="1:7">
      <c r="A60" t="str">
        <f>Break!A60</f>
        <v>Hyd_Meena Zinjare (1008570)</v>
      </c>
      <c r="B60" t="str">
        <f t="shared" si="5"/>
        <v>Meena Zinjare</v>
      </c>
      <c r="C60" s="12">
        <f t="shared" si="6"/>
        <v>0.33714120370370371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3">
        <f t="shared" si="10"/>
        <v>0.34903360911806097</v>
      </c>
    </row>
    <row r="61" spans="1:7">
      <c r="A61" t="str">
        <f>Break!A61</f>
        <v>Hyd_Mehnaz Khan (1008571)</v>
      </c>
      <c r="B61" t="str">
        <f t="shared" si="5"/>
        <v>Mehnaz Khan</v>
      </c>
      <c r="C61" s="12">
        <f t="shared" si="6"/>
        <v>0.34364583333333332</v>
      </c>
      <c r="D61" s="12">
        <f t="shared" si="7"/>
        <v>0.17246527777777779</v>
      </c>
      <c r="E61" s="12">
        <f t="shared" si="8"/>
        <v>9.194444444444444E-2</v>
      </c>
      <c r="F61">
        <f t="shared" si="9"/>
        <v>38</v>
      </c>
      <c r="G61" s="13">
        <f t="shared" si="10"/>
        <v>0.47933717288067101</v>
      </c>
    </row>
    <row r="62" spans="1:7">
      <c r="A62" t="str">
        <f>Break!A62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1.0821759259259258E-2</v>
      </c>
      <c r="F62">
        <f t="shared" si="9"/>
        <v>37</v>
      </c>
      <c r="G62" s="13">
        <f t="shared" si="10"/>
        <v>0.62762080802746201</v>
      </c>
    </row>
    <row r="63" spans="1:7">
      <c r="A63" t="str">
        <f>Break!A63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0.17645833333333333</v>
      </c>
      <c r="E63" s="12">
        <f t="shared" si="8"/>
        <v>9.2442129629629624E-2</v>
      </c>
      <c r="F63">
        <f t="shared" si="9"/>
        <v>36</v>
      </c>
      <c r="G63" s="13">
        <f t="shared" si="10"/>
        <v>0.47561801557737898</v>
      </c>
    </row>
    <row r="64" spans="1:7">
      <c r="A64" t="str">
        <f>Break!A64</f>
        <v>Hyd_Mohd Rafi (1008574)</v>
      </c>
      <c r="B64" t="str">
        <f t="shared" si="5"/>
        <v>Mohd Rafi</v>
      </c>
      <c r="C64" s="12">
        <f t="shared" si="6"/>
        <v>0.33370370370370372</v>
      </c>
      <c r="D64" s="12">
        <f t="shared" si="7"/>
        <v>0.16336805555555556</v>
      </c>
      <c r="E64" s="12">
        <f t="shared" si="8"/>
        <v>0.11005787037037038</v>
      </c>
      <c r="F64">
        <f t="shared" si="9"/>
        <v>35</v>
      </c>
      <c r="G64" s="13">
        <f t="shared" si="10"/>
        <v>0.43635543840177599</v>
      </c>
    </row>
    <row r="65" spans="1:7">
      <c r="A65" t="str">
        <f>Break!A65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0.10043981481481482</v>
      </c>
      <c r="F65">
        <f t="shared" si="9"/>
        <v>34</v>
      </c>
      <c r="G65" s="13">
        <f t="shared" si="10"/>
        <v>0.451270369721395</v>
      </c>
    </row>
    <row r="66" spans="1:7">
      <c r="A66" t="str">
        <f>Break!A66</f>
        <v>Hyd_Mukesh Nagar (1008576)</v>
      </c>
      <c r="B66" t="str">
        <f t="shared" si="5"/>
        <v>Mukesh Nagar</v>
      </c>
      <c r="C66" s="12">
        <f t="shared" ref="C66:C97" si="11">TIMEVALUE(VLOOKUP(A66,EData,2,0))</f>
        <v>0.20910879629629631</v>
      </c>
      <c r="D66" s="12">
        <f t="shared" ref="D66:D97" si="12">TIMEVALUE(VLOOKUP(A66,EData,3,0))</f>
        <v>0.13449074074074074</v>
      </c>
      <c r="E66" s="12">
        <f t="shared" ref="E66:E97" si="13">TIMEVALUE(VLOOKUP(A66,BData,9,0))</f>
        <v>2.0532407407407409E-2</v>
      </c>
      <c r="F66">
        <f t="shared" ref="F66:F97" si="14">VLOOKUP(A66,PData,2,0)</f>
        <v>33</v>
      </c>
      <c r="G66" s="13">
        <f t="shared" ref="G66:G97" si="15">VLOOKUP(A66,EData,6,0)</f>
        <v>0.61244257486024201</v>
      </c>
    </row>
    <row r="67" spans="1:7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5.1423611111111114E-2</v>
      </c>
      <c r="F67">
        <f t="shared" si="14"/>
        <v>32</v>
      </c>
      <c r="G67" s="13">
        <f t="shared" si="15"/>
        <v>0.51755872288115901</v>
      </c>
    </row>
    <row r="68" spans="1:7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>
        <f t="shared" si="13"/>
        <v>4.7534722222222221E-2</v>
      </c>
      <c r="F68">
        <f t="shared" si="14"/>
        <v>31</v>
      </c>
      <c r="G68" s="13">
        <f t="shared" si="15"/>
        <v>0.55550735760285597</v>
      </c>
    </row>
    <row r="69" spans="1:7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>
        <f t="shared" si="13"/>
        <v>9.3958333333333338E-2</v>
      </c>
      <c r="F69">
        <f t="shared" si="14"/>
        <v>30</v>
      </c>
      <c r="G69" s="13">
        <f t="shared" si="15"/>
        <v>0.45535862734013899</v>
      </c>
    </row>
    <row r="70" spans="1:7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3">
        <f t="shared" si="15"/>
        <v>0.53445058742225304</v>
      </c>
    </row>
    <row r="71" spans="1:7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3">
        <f t="shared" si="15"/>
        <v>0.55914916459773201</v>
      </c>
    </row>
    <row r="72" spans="1:7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3">
        <f t="shared" si="15"/>
        <v>0.56847106148351101</v>
      </c>
    </row>
    <row r="73" spans="1:7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>
        <f t="shared" si="13"/>
        <v>6.6701388888888893E-2</v>
      </c>
      <c r="F73">
        <f t="shared" si="14"/>
        <v>30</v>
      </c>
      <c r="G73" s="13">
        <f t="shared" si="15"/>
        <v>0.47509108744394601</v>
      </c>
    </row>
    <row r="74" spans="1:7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3">
        <f t="shared" si="15"/>
        <v>0.47578531804104401</v>
      </c>
    </row>
    <row r="75" spans="1:7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3">
        <f t="shared" si="15"/>
        <v>0.46898271622042897</v>
      </c>
    </row>
    <row r="76" spans="1:7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>
        <f t="shared" si="13"/>
        <v>8.0162037037037032E-2</v>
      </c>
      <c r="F76">
        <f t="shared" si="14"/>
        <v>33</v>
      </c>
      <c r="G76" s="13">
        <f t="shared" si="15"/>
        <v>0.51361161524500898</v>
      </c>
    </row>
    <row r="77" spans="1:7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3">
        <f t="shared" si="15"/>
        <v>0.525112224318522</v>
      </c>
    </row>
    <row r="78" spans="1:7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3">
        <f t="shared" si="15"/>
        <v>0.348600086352918</v>
      </c>
    </row>
    <row r="79" spans="1:7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3">
        <f t="shared" si="15"/>
        <v>0.314709762532982</v>
      </c>
    </row>
    <row r="80" spans="1:7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>
        <f t="shared" si="13"/>
        <v>4.8900462962962965E-2</v>
      </c>
      <c r="F80">
        <f t="shared" si="14"/>
        <v>37</v>
      </c>
      <c r="G80" s="13">
        <f t="shared" si="15"/>
        <v>0.55600710333993597</v>
      </c>
    </row>
    <row r="81" spans="1:7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3">
        <f t="shared" si="15"/>
        <v>0.46221628838451301</v>
      </c>
    </row>
    <row r="82" spans="1:7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3">
        <f t="shared" si="15"/>
        <v>0.39075685654008402</v>
      </c>
    </row>
    <row r="83" spans="1:7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3">
        <f t="shared" si="15"/>
        <v>0.54713623850130899</v>
      </c>
    </row>
    <row r="84" spans="1:7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3">
        <f t="shared" si="15"/>
        <v>0.61457229509993805</v>
      </c>
    </row>
    <row r="85" spans="1:7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4.7731481481481479E-2</v>
      </c>
      <c r="F85">
        <f t="shared" si="14"/>
        <v>42</v>
      </c>
      <c r="G85" s="13">
        <f t="shared" si="15"/>
        <v>0.55335578460387103</v>
      </c>
    </row>
    <row r="86" spans="1:7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>
        <f t="shared" si="13"/>
        <v>4.7500000000000001E-2</v>
      </c>
      <c r="F86">
        <f t="shared" si="14"/>
        <v>43</v>
      </c>
      <c r="G86" s="13">
        <f t="shared" si="15"/>
        <v>0.611363636363636</v>
      </c>
    </row>
    <row r="87" spans="1:7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6.7430555555555549E-2</v>
      </c>
      <c r="F87">
        <f t="shared" si="14"/>
        <v>44</v>
      </c>
      <c r="G87" s="13">
        <f t="shared" si="15"/>
        <v>0.51217732689434703</v>
      </c>
    </row>
    <row r="88" spans="1:7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>
        <f t="shared" si="13"/>
        <v>5.4953703703703706E-2</v>
      </c>
      <c r="F88">
        <f t="shared" si="14"/>
        <v>45</v>
      </c>
      <c r="G88" s="13">
        <f t="shared" si="15"/>
        <v>0.56029910728991705</v>
      </c>
    </row>
    <row r="89" spans="1:7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3">
        <f t="shared" si="15"/>
        <v>0.42891793558819602</v>
      </c>
    </row>
    <row r="90" spans="1:7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3">
        <f t="shared" si="15"/>
        <v>9.4547987000066294E-2</v>
      </c>
    </row>
    <row r="91" spans="1:7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>
        <f t="shared" si="13"/>
        <v>5.0046296296296297E-2</v>
      </c>
      <c r="F91">
        <f t="shared" si="14"/>
        <v>48</v>
      </c>
      <c r="G91" s="13">
        <f t="shared" si="15"/>
        <v>0.61021533340268397</v>
      </c>
    </row>
    <row r="92" spans="1:7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3">
        <f t="shared" si="15"/>
        <v>0.51260926353863201</v>
      </c>
    </row>
    <row r="93" spans="1:7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3">
        <f t="shared" si="15"/>
        <v>0.62426796562859199</v>
      </c>
    </row>
    <row r="94" spans="1:7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>
        <f t="shared" si="13"/>
        <v>4.8240740740740744E-2</v>
      </c>
      <c r="F94">
        <f t="shared" si="14"/>
        <v>51</v>
      </c>
      <c r="G94" s="13">
        <f t="shared" si="15"/>
        <v>0.54373153085832704</v>
      </c>
    </row>
    <row r="95" spans="1:7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0.34385416666666668</v>
      </c>
      <c r="F95">
        <f t="shared" si="14"/>
        <v>52</v>
      </c>
      <c r="G95" s="13">
        <f t="shared" si="15"/>
        <v>0</v>
      </c>
    </row>
    <row r="96" spans="1:7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3">
        <f t="shared" si="15"/>
        <v>0.14431174927516199</v>
      </c>
    </row>
    <row r="97" spans="1:7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3">
        <f t="shared" si="15"/>
        <v>0.55259293866381898</v>
      </c>
    </row>
    <row r="98" spans="1:7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TIMEVALUE(VLOOKUP(A98,EData,2,0))</f>
        <v>0.33483796296296298</v>
      </c>
      <c r="D98" s="12">
        <f t="shared" ref="D98:D129" si="18">TIMEVALUE(VLOOKUP(A98,EData,3,0))</f>
        <v>6.6759259259259254E-2</v>
      </c>
      <c r="E98" s="12">
        <f t="shared" ref="E98:E129" si="19">TIMEVALUE(VLOOKUP(A98,BData,9,0))</f>
        <v>0.23973379629629629</v>
      </c>
      <c r="F98">
        <f t="shared" ref="F98:F129" si="20">VLOOKUP(A98,PData,2,0)</f>
        <v>55</v>
      </c>
      <c r="G98" s="13">
        <f t="shared" ref="G98:G129" si="21">VLOOKUP(A98,EData,6,0)</f>
        <v>0.18938817836156199</v>
      </c>
    </row>
    <row r="99" spans="1:7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3">
        <f t="shared" si="21"/>
        <v>0.47077424938419499</v>
      </c>
    </row>
    <row r="100" spans="1:7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3">
        <f t="shared" si="21"/>
        <v>0.53862155040909698</v>
      </c>
    </row>
    <row r="101" spans="1:7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3">
        <f t="shared" si="21"/>
        <v>0.53294365856189296</v>
      </c>
    </row>
    <row r="102" spans="1:7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>
        <f t="shared" si="19"/>
        <v>0.11229166666666666</v>
      </c>
      <c r="F102">
        <f t="shared" si="20"/>
        <v>59</v>
      </c>
      <c r="G102" s="13">
        <f t="shared" si="21"/>
        <v>0.41310286360211002</v>
      </c>
    </row>
    <row r="103" spans="1:7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3">
        <f t="shared" si="21"/>
        <v>0.50483838451717</v>
      </c>
    </row>
    <row r="104" spans="1:7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6.7326388888888894E-2</v>
      </c>
      <c r="F104">
        <f t="shared" si="20"/>
        <v>61</v>
      </c>
      <c r="G104" s="13">
        <f t="shared" si="21"/>
        <v>0.52390558805729304</v>
      </c>
    </row>
    <row r="105" spans="1:7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3">
        <f t="shared" si="21"/>
        <v>0.25444780127559602</v>
      </c>
    </row>
    <row r="106" spans="1:7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>
        <f t="shared" si="19"/>
        <v>5.0925925925925923E-2</v>
      </c>
      <c r="F106">
        <f t="shared" si="20"/>
        <v>63</v>
      </c>
      <c r="G106" s="13">
        <f t="shared" si="21"/>
        <v>0.55517503805174995</v>
      </c>
    </row>
    <row r="107" spans="1:7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3">
        <f t="shared" si="21"/>
        <v>0</v>
      </c>
    </row>
    <row r="108" spans="1:7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3">
        <f t="shared" si="21"/>
        <v>0.477120667047709</v>
      </c>
    </row>
    <row r="109" spans="1:7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>
        <f t="shared" si="19"/>
        <v>3.7349537037037035E-2</v>
      </c>
      <c r="F109">
        <f t="shared" si="20"/>
        <v>66</v>
      </c>
      <c r="G109" s="13">
        <f t="shared" si="21"/>
        <v>0.61917030852521004</v>
      </c>
    </row>
    <row r="110" spans="1:7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4.8194444444444443E-2</v>
      </c>
      <c r="F110">
        <f t="shared" si="20"/>
        <v>67</v>
      </c>
      <c r="G110" s="13">
        <f t="shared" si="21"/>
        <v>0.55305265350039901</v>
      </c>
    </row>
    <row r="111" spans="1:7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>
        <f t="shared" si="19"/>
        <v>4.7685185185185185E-2</v>
      </c>
      <c r="F111">
        <f t="shared" si="20"/>
        <v>68</v>
      </c>
      <c r="G111" s="13">
        <f t="shared" si="21"/>
        <v>0.56195374478956595</v>
      </c>
    </row>
    <row r="112" spans="1:7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>
        <f t="shared" si="19"/>
        <v>8.2974537037037041E-2</v>
      </c>
      <c r="F112">
        <f t="shared" si="20"/>
        <v>69</v>
      </c>
      <c r="G112" s="13">
        <f t="shared" si="21"/>
        <v>0.48780077967468699</v>
      </c>
    </row>
    <row r="113" spans="1:7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3">
        <f t="shared" si="21"/>
        <v>0.55414762032804499</v>
      </c>
    </row>
    <row r="114" spans="1:7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3">
        <f t="shared" si="21"/>
        <v>0.58651553374572396</v>
      </c>
    </row>
    <row r="115" spans="1:7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5.1342592592592592E-2</v>
      </c>
      <c r="F115">
        <f t="shared" si="20"/>
        <v>72</v>
      </c>
      <c r="G115" s="13">
        <f t="shared" si="21"/>
        <v>0.58165871362322696</v>
      </c>
    </row>
    <row r="116" spans="1:7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3">
        <f t="shared" si="21"/>
        <v>0.59073251942286398</v>
      </c>
    </row>
    <row r="117" spans="1:7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3">
        <f t="shared" si="21"/>
        <v>0.58640692060085797</v>
      </c>
    </row>
    <row r="118" spans="1:7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3">
        <f t="shared" si="21"/>
        <v>0.54653369681493502</v>
      </c>
    </row>
    <row r="119" spans="1:7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>
        <f t="shared" si="19"/>
        <v>6.4317129629629627E-2</v>
      </c>
      <c r="F119">
        <f t="shared" si="20"/>
        <v>76</v>
      </c>
      <c r="G119" s="13">
        <f t="shared" si="21"/>
        <v>0.53238796723342696</v>
      </c>
    </row>
    <row r="120" spans="1:7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3">
        <f t="shared" si="21"/>
        <v>0.47020989660776702</v>
      </c>
    </row>
    <row r="121" spans="1:7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>
        <f t="shared" si="19"/>
        <v>4.7754629629629633E-2</v>
      </c>
      <c r="F121">
        <f t="shared" si="20"/>
        <v>78</v>
      </c>
      <c r="G121" s="13">
        <f t="shared" si="21"/>
        <v>0.54633099407235797</v>
      </c>
    </row>
    <row r="122" spans="1:7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>
        <f t="shared" si="19"/>
        <v>0.15493055555555554</v>
      </c>
      <c r="F122">
        <f t="shared" si="20"/>
        <v>79</v>
      </c>
      <c r="G122" s="13">
        <f t="shared" si="21"/>
        <v>0.38820416638756799</v>
      </c>
    </row>
    <row r="123" spans="1:7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3">
        <f t="shared" si="21"/>
        <v>0.40277584042404802</v>
      </c>
    </row>
    <row r="124" spans="1:7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3">
        <f t="shared" si="21"/>
        <v>0.54352584610203702</v>
      </c>
    </row>
    <row r="125" spans="1:7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3">
        <f t="shared" si="21"/>
        <v>0.28371986821932998</v>
      </c>
    </row>
    <row r="126" spans="1:7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>
        <f t="shared" si="19"/>
        <v>7.048611111111111E-2</v>
      </c>
      <c r="F126">
        <f t="shared" si="20"/>
        <v>83</v>
      </c>
      <c r="G126" s="13">
        <f t="shared" si="21"/>
        <v>0.56196890539434796</v>
      </c>
    </row>
    <row r="127" spans="1:7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>
        <f t="shared" si="19"/>
        <v>0.14153935185185185</v>
      </c>
      <c r="F127">
        <f t="shared" si="20"/>
        <v>84</v>
      </c>
      <c r="G127" s="13">
        <f t="shared" si="21"/>
        <v>0.40332201825791802</v>
      </c>
    </row>
    <row r="128" spans="1:7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9.5694444444444443E-2</v>
      </c>
      <c r="F128">
        <f t="shared" si="20"/>
        <v>85</v>
      </c>
      <c r="G128" s="13">
        <f t="shared" si="21"/>
        <v>0.43796610169491501</v>
      </c>
    </row>
    <row r="129" spans="1:7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5.5231481481481479E-2</v>
      </c>
      <c r="F129">
        <f t="shared" si="20"/>
        <v>86</v>
      </c>
      <c r="G129" s="13">
        <f t="shared" si="21"/>
        <v>0.55581995508931903</v>
      </c>
    </row>
    <row r="130" spans="1:7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TIMEVALUE(VLOOKUP(A130,EData,2,0))</f>
        <v>0.34416666666666668</v>
      </c>
      <c r="D130" s="12">
        <f t="shared" ref="D130:D150" si="23">TIMEVALUE(VLOOKUP(A130,EData,3,0))</f>
        <v>0.12054398148148149</v>
      </c>
      <c r="E130" s="12">
        <f t="shared" ref="E130:E150" si="24">TIMEVALUE(VLOOKUP(A130,BData,9,0))</f>
        <v>0.19140046296296295</v>
      </c>
      <c r="F130">
        <f t="shared" ref="F130:F150" si="25">VLOOKUP(A130,PData,2,0)</f>
        <v>87</v>
      </c>
      <c r="G130" s="13">
        <f t="shared" ref="G130:G150" si="26">VLOOKUP(A130,EData,6,0)</f>
        <v>0.326035781544256</v>
      </c>
    </row>
    <row r="131" spans="1:7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3">
        <f t="shared" si="26"/>
        <v>0.57404190086867701</v>
      </c>
    </row>
    <row r="132" spans="1:7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3">
        <f t="shared" si="26"/>
        <v>0.45359037481363301</v>
      </c>
    </row>
    <row r="133" spans="1:7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>
        <f t="shared" si="24"/>
        <v>0.19189814814814815</v>
      </c>
      <c r="F133">
        <f t="shared" si="25"/>
        <v>90</v>
      </c>
      <c r="G133" s="13">
        <f t="shared" si="26"/>
        <v>0.29689998979140397</v>
      </c>
    </row>
    <row r="134" spans="1:7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>
        <f t="shared" si="24"/>
        <v>5.1666666666666666E-2</v>
      </c>
      <c r="F134">
        <f t="shared" si="25"/>
        <v>91</v>
      </c>
      <c r="G134" s="13">
        <f t="shared" si="26"/>
        <v>0.55729058227496697</v>
      </c>
    </row>
    <row r="135" spans="1:7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3">
        <f t="shared" si="26"/>
        <v>0.33279321519685601</v>
      </c>
    </row>
    <row r="136" spans="1:7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>
        <f t="shared" si="24"/>
        <v>9.5034722222222229E-2</v>
      </c>
      <c r="F136">
        <f t="shared" si="25"/>
        <v>93</v>
      </c>
      <c r="G136" s="13">
        <f t="shared" si="26"/>
        <v>0.472308115165258</v>
      </c>
    </row>
    <row r="137" spans="1:7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>
        <f t="shared" si="24"/>
        <v>8.7997685185185179E-2</v>
      </c>
      <c r="F137">
        <f t="shared" si="25"/>
        <v>94</v>
      </c>
      <c r="G137" s="13">
        <f t="shared" si="26"/>
        <v>0.51110729613733896</v>
      </c>
    </row>
    <row r="138" spans="1:7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3">
        <f t="shared" si="26"/>
        <v>0.58886040078267299</v>
      </c>
    </row>
    <row r="139" spans="1:7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>
        <f t="shared" si="24"/>
        <v>0.1575462962962963</v>
      </c>
      <c r="F139">
        <f t="shared" si="25"/>
        <v>96</v>
      </c>
      <c r="G139" s="13">
        <f t="shared" si="26"/>
        <v>0.34289424860853401</v>
      </c>
    </row>
    <row r="140" spans="1:7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3">
        <f t="shared" si="26"/>
        <v>0.497486459313074</v>
      </c>
    </row>
    <row r="141" spans="1:7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3">
        <f t="shared" si="26"/>
        <v>0.52431431936732298</v>
      </c>
    </row>
    <row r="142" spans="1:7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3">
        <f t="shared" si="26"/>
        <v>0.31066956086157999</v>
      </c>
    </row>
    <row r="143" spans="1:7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>
        <f t="shared" si="24"/>
        <v>5.1898148148148152E-2</v>
      </c>
      <c r="F143">
        <f t="shared" si="25"/>
        <v>100</v>
      </c>
      <c r="G143" s="13">
        <f t="shared" si="26"/>
        <v>0.58462473412336702</v>
      </c>
    </row>
    <row r="144" spans="1:7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0.21081018518518518</v>
      </c>
      <c r="F144">
        <f t="shared" si="25"/>
        <v>101</v>
      </c>
      <c r="G144" s="13">
        <f t="shared" si="26"/>
        <v>0.31685816164817698</v>
      </c>
    </row>
    <row r="145" spans="1:7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>
        <f t="shared" si="24"/>
        <v>5.0046296296296297E-2</v>
      </c>
      <c r="F145">
        <f t="shared" si="25"/>
        <v>102</v>
      </c>
      <c r="G145" s="13">
        <f t="shared" si="26"/>
        <v>0.56375322197301903</v>
      </c>
    </row>
    <row r="146" spans="1:7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>
        <f t="shared" si="24"/>
        <v>3.8946759259259257E-2</v>
      </c>
      <c r="F146">
        <f t="shared" si="25"/>
        <v>103</v>
      </c>
      <c r="G146" s="13">
        <f t="shared" si="26"/>
        <v>0.54779147908918902</v>
      </c>
    </row>
    <row r="147" spans="1:7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3">
        <f t="shared" si="26"/>
        <v>0.37965983593576802</v>
      </c>
    </row>
    <row r="148" spans="1:7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>
        <f t="shared" si="24"/>
        <v>5.0127314814814812E-2</v>
      </c>
      <c r="F148">
        <f t="shared" si="25"/>
        <v>105</v>
      </c>
      <c r="G148" s="13">
        <f t="shared" si="26"/>
        <v>0.56529498922413801</v>
      </c>
    </row>
    <row r="149" spans="1:7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1.0451388888888889E-2</v>
      </c>
      <c r="F149">
        <f t="shared" si="25"/>
        <v>106</v>
      </c>
      <c r="G149" s="13">
        <f t="shared" si="26"/>
        <v>0.60261183662128404</v>
      </c>
    </row>
    <row r="150" spans="1:7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9.5034722222222229E-2</v>
      </c>
      <c r="F150">
        <f t="shared" si="25"/>
        <v>107</v>
      </c>
      <c r="G150" s="13">
        <f t="shared" si="26"/>
        <v>0.49813523593319298</v>
      </c>
    </row>
  </sheetData>
  <sheetProtection algorithmName="SHA-512" hashValue="Lkkt9L3SEFKECKdMEI0pWxf0mQ7u2B3zwr2atIxiP/6tSS3hA6JOm1xHM9O+J/HbBgSIu9OU/TJlWBHZjoCoJg==" saltValue="/B3NGKRybpJfhRCskgWAd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/>
  <dimension ref="A1:E10"/>
  <sheetViews>
    <sheetView zoomScale="124" zoomScaleNormal="160" workbookViewId="0">
      <selection activeCell="D8" sqref="D8"/>
    </sheetView>
  </sheetViews>
  <sheetFormatPr defaultRowHeight="14.4"/>
  <cols>
    <col min="1" max="1" width="13.21875" bestFit="1" customWidth="1"/>
    <col min="2" max="2" width="31.88671875" bestFit="1" customWidth="1"/>
    <col min="3" max="3" width="5.21875" customWidth="1"/>
    <col min="4" max="4" width="19.21875" customWidth="1"/>
    <col min="5" max="5" width="28.109375" customWidth="1"/>
  </cols>
  <sheetData>
    <row r="1" spans="1:5">
      <c r="A1" s="16"/>
      <c r="B1" s="16"/>
      <c r="C1" s="17">
        <v>5</v>
      </c>
      <c r="D1" s="16"/>
      <c r="E1" s="16"/>
    </row>
    <row r="2" spans="1:5">
      <c r="A2" s="16"/>
      <c r="B2" s="16"/>
      <c r="C2" s="17">
        <v>6</v>
      </c>
      <c r="D2" s="16"/>
      <c r="E2" s="16"/>
    </row>
    <row r="3" spans="1:5" ht="18" customHeight="1">
      <c r="A3" s="19" t="s">
        <v>1010</v>
      </c>
      <c r="B3" s="19"/>
      <c r="D3" s="19" t="s">
        <v>1010</v>
      </c>
      <c r="E3" s="19"/>
    </row>
    <row r="4" spans="1:5">
      <c r="A4" s="14" t="s">
        <v>1003</v>
      </c>
      <c r="B4" t="s">
        <v>1009</v>
      </c>
      <c r="D4" s="14" t="s">
        <v>1003</v>
      </c>
      <c r="E4" t="s">
        <v>1011</v>
      </c>
    </row>
    <row r="5" spans="1:5">
      <c r="A5" s="15" t="s">
        <v>1004</v>
      </c>
      <c r="B5" s="12">
        <v>1.3668402777777777</v>
      </c>
      <c r="D5" s="15" t="s">
        <v>1013</v>
      </c>
      <c r="E5" s="18">
        <v>0.65495030262646503</v>
      </c>
    </row>
    <row r="6" spans="1:5">
      <c r="A6" s="15" t="s">
        <v>1005</v>
      </c>
      <c r="B6" s="12">
        <v>0.66396990740740736</v>
      </c>
      <c r="D6" s="15" t="s">
        <v>1004</v>
      </c>
      <c r="E6" s="18">
        <v>2.0905948641136138</v>
      </c>
    </row>
    <row r="7" spans="1:5">
      <c r="A7" s="15" t="s">
        <v>1006</v>
      </c>
      <c r="B7" s="12">
        <v>0.67937500000000006</v>
      </c>
      <c r="D7" s="15" t="s">
        <v>1005</v>
      </c>
      <c r="E7" s="18">
        <v>1.064298009533315</v>
      </c>
    </row>
    <row r="8" spans="1:5">
      <c r="A8" s="15" t="s">
        <v>1007</v>
      </c>
      <c r="B8" s="12">
        <v>1.0142939814814815</v>
      </c>
      <c r="D8" s="15" t="s">
        <v>1006</v>
      </c>
      <c r="E8" s="18">
        <v>1.122824596941316</v>
      </c>
    </row>
    <row r="9" spans="1:5">
      <c r="A9" s="15" t="s">
        <v>1008</v>
      </c>
      <c r="B9" s="12">
        <v>0.67259259259259263</v>
      </c>
      <c r="D9" s="15" t="s">
        <v>1012</v>
      </c>
      <c r="E9" s="18">
        <v>1.7236731368386569</v>
      </c>
    </row>
    <row r="10" spans="1:5">
      <c r="D10" s="15" t="s">
        <v>1008</v>
      </c>
      <c r="E10" s="18">
        <v>0.80510133036211395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1950720</xdr:colOff>
                    <xdr:row>9</xdr:row>
                    <xdr:rowOff>68580</xdr:rowOff>
                  </from>
                  <to>
                    <xdr:col>1</xdr:col>
                    <xdr:colOff>2087880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708660</xdr:colOff>
                    <xdr:row>0</xdr:row>
                    <xdr:rowOff>53340</xdr:rowOff>
                  </from>
                  <to>
                    <xdr:col>1</xdr:col>
                    <xdr:colOff>845820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8_Code">
                <anchor moveWithCells="1" sizeWithCells="1">
                  <from>
                    <xdr:col>4</xdr:col>
                    <xdr:colOff>411480</xdr:colOff>
                    <xdr:row>0</xdr:row>
                    <xdr:rowOff>45720</xdr:rowOff>
                  </from>
                  <to>
                    <xdr:col>4</xdr:col>
                    <xdr:colOff>548640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8_Code">
                <anchor moveWithCells="1" sizeWithCells="1">
                  <from>
                    <xdr:col>4</xdr:col>
                    <xdr:colOff>1668780</xdr:colOff>
                    <xdr:row>9</xdr:row>
                    <xdr:rowOff>76200</xdr:rowOff>
                  </from>
                  <to>
                    <xdr:col>4</xdr:col>
                    <xdr:colOff>1805940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Break</vt:lpstr>
      <vt:lpstr>Efficiency</vt:lpstr>
      <vt:lpstr>OverAll Performance</vt:lpstr>
      <vt:lpstr>Summary</vt:lpstr>
      <vt:lpstr>Dashboard</vt:lpstr>
      <vt:lpstr>BData</vt:lpstr>
      <vt:lpstr>Break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raghav dadheech</cp:lastModifiedBy>
  <dcterms:created xsi:type="dcterms:W3CDTF">2022-05-04T01:32:35Z</dcterms:created>
  <dcterms:modified xsi:type="dcterms:W3CDTF">2026-01-05T03:57:38Z</dcterms:modified>
</cp:coreProperties>
</file>